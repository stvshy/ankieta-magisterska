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\Documents\Magisterka\Magisterka\Praca magisterska\"/>
    </mc:Choice>
  </mc:AlternateContent>
  <xr:revisionPtr revIDLastSave="0" documentId="13_ncr:1_{AD39E238-63B4-4B7F-B497-7A6AC96C59EF}" xr6:coauthVersionLast="47" xr6:coauthVersionMax="47" xr10:uidLastSave="{00000000-0000-0000-0000-000000000000}"/>
  <bookViews>
    <workbookView xWindow="0" yWindow="0" windowWidth="20640" windowHeight="16680" firstSheet="8" activeTab="10" xr2:uid="{0B950873-47D3-498D-8B2A-DE09D96574AA}"/>
  </bookViews>
  <sheets>
    <sheet name="Zabytki i kultura" sheetId="8" r:id="rId1"/>
    <sheet name="Plaże i morza" sheetId="2" r:id="rId2"/>
    <sheet name="Plaże i morza 2" sheetId="3" r:id="rId3"/>
    <sheet name="Góry (MetaRank)" sheetId="4" r:id="rId4"/>
    <sheet name="Natura (MetaRank)" sheetId="5" r:id="rId5"/>
    <sheet name="Góry i natura NRS" sheetId="6" r:id="rId6"/>
    <sheet name="Góry i natura NTI" sheetId="7" r:id="rId7"/>
    <sheet name="Góry i natura FNS" sheetId="9" r:id="rId8"/>
    <sheet name="Infrastruktura" sheetId="18" r:id="rId9"/>
    <sheet name="Niskie Koszty" sheetId="20" r:id="rId10"/>
    <sheet name="Bezpieczeństwo" sheetId="21" r:id="rId11"/>
    <sheet name="MASTER" sheetId="2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0" l="1"/>
  <c r="F58" i="20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2" i="21"/>
  <c r="C58" i="21"/>
  <c r="B70" i="21"/>
  <c r="C59" i="21" s="1"/>
  <c r="B58" i="21"/>
  <c r="B43" i="21"/>
  <c r="B40" i="21"/>
  <c r="B62" i="21" s="1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2" i="20"/>
  <c r="N13" i="20"/>
  <c r="M13" i="20"/>
  <c r="H69" i="18"/>
  <c r="G69" i="18"/>
  <c r="E69" i="18"/>
  <c r="D69" i="18"/>
  <c r="C69" i="18"/>
  <c r="B69" i="18"/>
  <c r="N58" i="18"/>
  <c r="I58" i="18"/>
  <c r="G58" i="18"/>
  <c r="D58" i="18"/>
  <c r="B58" i="18"/>
  <c r="N43" i="18"/>
  <c r="I43" i="18"/>
  <c r="G43" i="18"/>
  <c r="D43" i="18"/>
  <c r="B43" i="18"/>
  <c r="N40" i="18"/>
  <c r="N62" i="18" s="1"/>
  <c r="I40" i="18"/>
  <c r="G40" i="18"/>
  <c r="D40" i="18"/>
  <c r="B40" i="18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2" i="9"/>
  <c r="D62" i="9" s="1"/>
  <c r="C62" i="7"/>
  <c r="B62" i="7"/>
  <c r="L61" i="8"/>
  <c r="K61" i="8"/>
  <c r="L60" i="8"/>
  <c r="K60" i="8"/>
  <c r="L59" i="8"/>
  <c r="K59" i="8"/>
  <c r="L58" i="8"/>
  <c r="K58" i="8"/>
  <c r="L57" i="8"/>
  <c r="K57" i="8"/>
  <c r="L56" i="8"/>
  <c r="L55" i="8"/>
  <c r="K55" i="8"/>
  <c r="L54" i="8"/>
  <c r="K54" i="8"/>
  <c r="L53" i="8"/>
  <c r="K53" i="8"/>
  <c r="L52" i="8"/>
  <c r="K52" i="8"/>
  <c r="L51" i="8"/>
  <c r="L50" i="8"/>
  <c r="K50" i="8"/>
  <c r="L49" i="8"/>
  <c r="K49" i="8"/>
  <c r="L48" i="8"/>
  <c r="K48" i="8"/>
  <c r="L47" i="8"/>
  <c r="K47" i="8"/>
  <c r="L46" i="8"/>
  <c r="K46" i="8"/>
  <c r="L45" i="8"/>
  <c r="L44" i="8"/>
  <c r="K44" i="8"/>
  <c r="L43" i="8"/>
  <c r="K43" i="8"/>
  <c r="L42" i="8"/>
  <c r="L41" i="8"/>
  <c r="K41" i="8"/>
  <c r="L40" i="8"/>
  <c r="K40" i="8"/>
  <c r="L39" i="8"/>
  <c r="K39" i="8"/>
  <c r="L38" i="8"/>
  <c r="L37" i="8"/>
  <c r="K37" i="8"/>
  <c r="L36" i="8"/>
  <c r="L35" i="8"/>
  <c r="K35" i="8"/>
  <c r="L34" i="8"/>
  <c r="L33" i="8"/>
  <c r="L32" i="8"/>
  <c r="L31" i="8"/>
  <c r="K31" i="8"/>
  <c r="L30" i="8"/>
  <c r="K30" i="8"/>
  <c r="L29" i="8"/>
  <c r="L28" i="8"/>
  <c r="K28" i="8"/>
  <c r="L27" i="8"/>
  <c r="K27" i="8"/>
  <c r="L26" i="8"/>
  <c r="K26" i="8"/>
  <c r="L25" i="8"/>
  <c r="K25" i="8"/>
  <c r="L24" i="8"/>
  <c r="K24" i="8"/>
  <c r="L23" i="8"/>
  <c r="K23" i="8"/>
  <c r="L22" i="8"/>
  <c r="K22" i="8"/>
  <c r="L21" i="8"/>
  <c r="L20" i="8"/>
  <c r="L19" i="8"/>
  <c r="L18" i="8"/>
  <c r="K18" i="8"/>
  <c r="L17" i="8"/>
  <c r="L16" i="8"/>
  <c r="L15" i="8"/>
  <c r="L14" i="8"/>
  <c r="K14" i="8"/>
  <c r="L13" i="8"/>
  <c r="K13" i="8"/>
  <c r="L12" i="8"/>
  <c r="K12" i="8"/>
  <c r="L11" i="8"/>
  <c r="L10" i="8"/>
  <c r="L9" i="8"/>
  <c r="L8" i="8"/>
  <c r="L7" i="8"/>
  <c r="L6" i="8"/>
  <c r="L5" i="8"/>
  <c r="L4" i="8"/>
  <c r="L3" i="8"/>
  <c r="L2" i="8"/>
  <c r="H4" i="8"/>
  <c r="H5" i="8"/>
  <c r="H6" i="8"/>
  <c r="H7" i="8"/>
  <c r="H8" i="8"/>
  <c r="H9" i="8"/>
  <c r="H10" i="8"/>
  <c r="H11" i="8"/>
  <c r="K5" i="8" s="1"/>
  <c r="H12" i="8"/>
  <c r="H13" i="8"/>
  <c r="H14" i="8"/>
  <c r="H15" i="8"/>
  <c r="H16" i="8"/>
  <c r="H17" i="8"/>
  <c r="H18" i="8"/>
  <c r="K7" i="8" s="1"/>
  <c r="H19" i="8"/>
  <c r="H20" i="8"/>
  <c r="H21" i="8"/>
  <c r="H22" i="8"/>
  <c r="H23" i="8"/>
  <c r="H24" i="8"/>
  <c r="K10" i="8" s="1"/>
  <c r="H25" i="8"/>
  <c r="K11" i="8" s="1"/>
  <c r="H26" i="8"/>
  <c r="H27" i="8"/>
  <c r="H28" i="8"/>
  <c r="H29" i="8"/>
  <c r="H30" i="8"/>
  <c r="H31" i="8"/>
  <c r="H32" i="8"/>
  <c r="H33" i="8"/>
  <c r="H34" i="8"/>
  <c r="H35" i="8"/>
  <c r="H36" i="8"/>
  <c r="H37" i="8"/>
  <c r="K19" i="8" s="1"/>
  <c r="H38" i="8"/>
  <c r="K20" i="8" s="1"/>
  <c r="H39" i="8"/>
  <c r="H40" i="8"/>
  <c r="H41" i="8"/>
  <c r="H42" i="8"/>
  <c r="H43" i="8"/>
  <c r="H44" i="8"/>
  <c r="H45" i="8"/>
  <c r="H46" i="8"/>
  <c r="H47" i="8"/>
  <c r="H48" i="8"/>
  <c r="K29" i="8" s="1"/>
  <c r="H49" i="8"/>
  <c r="H50" i="8"/>
  <c r="H51" i="8"/>
  <c r="K32" i="8" s="1"/>
  <c r="H52" i="8"/>
  <c r="K33" i="8" s="1"/>
  <c r="H53" i="8"/>
  <c r="K34" i="8" s="1"/>
  <c r="H54" i="8"/>
  <c r="H55" i="8"/>
  <c r="K36" i="8" s="1"/>
  <c r="H56" i="8"/>
  <c r="H57" i="8"/>
  <c r="K38" i="8" s="1"/>
  <c r="H58" i="8"/>
  <c r="H59" i="8"/>
  <c r="H60" i="8"/>
  <c r="H61" i="8"/>
  <c r="K42" i="8" s="1"/>
  <c r="H62" i="8"/>
  <c r="H63" i="8"/>
  <c r="H64" i="8"/>
  <c r="K45" i="8" s="1"/>
  <c r="H65" i="8"/>
  <c r="H66" i="8"/>
  <c r="H67" i="8"/>
  <c r="H68" i="8"/>
  <c r="H69" i="8"/>
  <c r="H70" i="8"/>
  <c r="K51" i="8" s="1"/>
  <c r="H71" i="8"/>
  <c r="H72" i="8"/>
  <c r="H73" i="8"/>
  <c r="H74" i="8"/>
  <c r="H75" i="8"/>
  <c r="K56" i="8" s="1"/>
  <c r="H76" i="8"/>
  <c r="H77" i="8"/>
  <c r="H78" i="8"/>
  <c r="H79" i="8"/>
  <c r="H80" i="8"/>
  <c r="H3" i="8"/>
  <c r="H2" i="8"/>
  <c r="K2" i="8" s="1"/>
  <c r="L6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2" i="6"/>
  <c r="L61" i="5"/>
  <c r="K61" i="5"/>
  <c r="L60" i="5"/>
  <c r="K60" i="5"/>
  <c r="L59" i="5"/>
  <c r="K59" i="5"/>
  <c r="L58" i="5"/>
  <c r="K58" i="5"/>
  <c r="L57" i="5"/>
  <c r="K57" i="5"/>
  <c r="L56" i="5"/>
  <c r="K56" i="5"/>
  <c r="L55" i="5"/>
  <c r="K55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3" i="5"/>
  <c r="K3" i="5"/>
  <c r="L2" i="5"/>
  <c r="K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2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3" i="4"/>
  <c r="K4" i="4"/>
  <c r="K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2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2" i="5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M26" i="2"/>
  <c r="N26" i="2" s="1"/>
  <c r="K5" i="2"/>
  <c r="L5" i="2" s="1"/>
  <c r="M5" i="2"/>
  <c r="N5" i="2"/>
  <c r="X5" i="2"/>
  <c r="M51" i="2"/>
  <c r="N51" i="2" s="1"/>
  <c r="M24" i="2"/>
  <c r="N24" i="2" s="1"/>
  <c r="K3" i="3"/>
  <c r="K4" i="3"/>
  <c r="K5" i="3"/>
  <c r="K6" i="3"/>
  <c r="K7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2" i="3"/>
  <c r="H3" i="3"/>
  <c r="K2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K8" i="3" s="1"/>
  <c r="H33" i="3"/>
  <c r="K9" i="3" s="1"/>
  <c r="H34" i="3"/>
  <c r="H35" i="3"/>
  <c r="K10" i="3" s="1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K11" i="3" s="1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K35" i="3" s="1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2" i="3"/>
  <c r="X6" i="2"/>
  <c r="X4" i="2"/>
  <c r="X3" i="2"/>
  <c r="X2" i="2"/>
  <c r="M3" i="2"/>
  <c r="N3" i="2" s="1"/>
  <c r="M4" i="2"/>
  <c r="N4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5" i="2"/>
  <c r="N25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2" i="2"/>
  <c r="N2" i="2" s="1"/>
  <c r="L12" i="2"/>
  <c r="L23" i="2"/>
  <c r="L33" i="2"/>
  <c r="L43" i="2"/>
  <c r="L47" i="2"/>
  <c r="L52" i="2"/>
  <c r="K51" i="2"/>
  <c r="L51" i="2" s="1"/>
  <c r="K26" i="2"/>
  <c r="L26" i="2" s="1"/>
  <c r="K24" i="2"/>
  <c r="L24" i="2" s="1"/>
  <c r="K3" i="2"/>
  <c r="L3" i="2" s="1"/>
  <c r="K4" i="2"/>
  <c r="L4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5" i="2"/>
  <c r="L25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4" i="2"/>
  <c r="L44" i="2" s="1"/>
  <c r="K45" i="2"/>
  <c r="L45" i="2" s="1"/>
  <c r="K46" i="2"/>
  <c r="L46" i="2" s="1"/>
  <c r="K48" i="2"/>
  <c r="L48" i="2" s="1"/>
  <c r="K49" i="2"/>
  <c r="L49" i="2" s="1"/>
  <c r="K50" i="2"/>
  <c r="L50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2" i="2"/>
  <c r="L2" i="2" s="1"/>
  <c r="C62" i="21" l="1"/>
  <c r="F63" i="20"/>
  <c r="F62" i="20"/>
  <c r="E63" i="20"/>
  <c r="E62" i="20"/>
  <c r="I62" i="18"/>
  <c r="J40" i="18" s="1"/>
  <c r="G62" i="18"/>
  <c r="H40" i="18" s="1"/>
  <c r="K40" i="18" s="1"/>
  <c r="D62" i="18"/>
  <c r="E40" i="18" s="1"/>
  <c r="B62" i="18"/>
  <c r="C40" i="18" s="1"/>
  <c r="F40" i="18" s="1"/>
  <c r="E54" i="9"/>
  <c r="E55" i="9"/>
  <c r="E56" i="9"/>
  <c r="E57" i="9"/>
  <c r="E58" i="9"/>
  <c r="E59" i="9"/>
  <c r="E60" i="9"/>
  <c r="E61" i="9"/>
  <c r="E2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2" i="7"/>
  <c r="K3" i="8"/>
  <c r="K21" i="8"/>
  <c r="K9" i="8"/>
  <c r="K17" i="8"/>
  <c r="K4" i="8"/>
  <c r="K6" i="8"/>
  <c r="K8" i="8"/>
  <c r="K15" i="8"/>
  <c r="K16" i="8"/>
  <c r="M48" i="8" s="1"/>
  <c r="O48" i="8" s="1"/>
  <c r="M46" i="8"/>
  <c r="O46" i="8" s="1"/>
  <c r="M43" i="8"/>
  <c r="O43" i="8" s="1"/>
  <c r="M40" i="8"/>
  <c r="O40" i="8" s="1"/>
  <c r="M35" i="8"/>
  <c r="O35" i="8" s="1"/>
  <c r="M30" i="8"/>
  <c r="O30" i="8" s="1"/>
  <c r="M7" i="8"/>
  <c r="O7" i="8" s="1"/>
  <c r="M10" i="8"/>
  <c r="O10" i="8" s="1"/>
  <c r="M16" i="8"/>
  <c r="O16" i="8" s="1"/>
  <c r="M20" i="8"/>
  <c r="O20" i="8" s="1"/>
  <c r="M29" i="8"/>
  <c r="O29" i="8" s="1"/>
  <c r="M34" i="8"/>
  <c r="O34" i="8" s="1"/>
  <c r="M38" i="8"/>
  <c r="O38" i="8" s="1"/>
  <c r="M45" i="8"/>
  <c r="O45" i="8" s="1"/>
  <c r="M51" i="8"/>
  <c r="O51" i="8" s="1"/>
  <c r="M58" i="8"/>
  <c r="O58" i="8" s="1"/>
  <c r="M49" i="8"/>
  <c r="O49" i="8" s="1"/>
  <c r="M47" i="8"/>
  <c r="O47" i="8" s="1"/>
  <c r="M44" i="8"/>
  <c r="O44" i="8" s="1"/>
  <c r="M41" i="8"/>
  <c r="O41" i="8" s="1"/>
  <c r="M39" i="8"/>
  <c r="O39" i="8" s="1"/>
  <c r="M37" i="8"/>
  <c r="O37" i="8" s="1"/>
  <c r="M31" i="8"/>
  <c r="O31" i="8" s="1"/>
  <c r="M28" i="8"/>
  <c r="O28" i="8" s="1"/>
  <c r="M27" i="8"/>
  <c r="O27" i="8" s="1"/>
  <c r="M26" i="8"/>
  <c r="O26" i="8" s="1"/>
  <c r="M25" i="8"/>
  <c r="O25" i="8" s="1"/>
  <c r="M24" i="8"/>
  <c r="O24" i="8" s="1"/>
  <c r="M23" i="8"/>
  <c r="O23" i="8" s="1"/>
  <c r="M22" i="8"/>
  <c r="O22" i="8" s="1"/>
  <c r="M18" i="8"/>
  <c r="O18" i="8" s="1"/>
  <c r="M14" i="8"/>
  <c r="O14" i="8" s="1"/>
  <c r="M13" i="8"/>
  <c r="O13" i="8" s="1"/>
  <c r="M12" i="8"/>
  <c r="O12" i="8" s="1"/>
  <c r="M3" i="8"/>
  <c r="O3" i="8" s="1"/>
  <c r="M4" i="8"/>
  <c r="O4" i="8" s="1"/>
  <c r="M5" i="8"/>
  <c r="O5" i="8" s="1"/>
  <c r="M6" i="8"/>
  <c r="O6" i="8" s="1"/>
  <c r="M8" i="8"/>
  <c r="O8" i="8" s="1"/>
  <c r="M9" i="8"/>
  <c r="O9" i="8" s="1"/>
  <c r="M11" i="8"/>
  <c r="O11" i="8" s="1"/>
  <c r="M15" i="8"/>
  <c r="O15" i="8" s="1"/>
  <c r="M17" i="8"/>
  <c r="O17" i="8" s="1"/>
  <c r="M19" i="8"/>
  <c r="O19" i="8" s="1"/>
  <c r="M21" i="8"/>
  <c r="O21" i="8" s="1"/>
  <c r="M32" i="8"/>
  <c r="O32" i="8" s="1"/>
  <c r="M33" i="8"/>
  <c r="O33" i="8" s="1"/>
  <c r="M36" i="8"/>
  <c r="O36" i="8" s="1"/>
  <c r="M42" i="8"/>
  <c r="O42" i="8" s="1"/>
  <c r="M56" i="8"/>
  <c r="O56" i="8" s="1"/>
  <c r="M3" i="6"/>
  <c r="N3" i="6" s="1"/>
  <c r="M4" i="6"/>
  <c r="N4" i="6" s="1"/>
  <c r="M5" i="6"/>
  <c r="N5" i="6" s="1"/>
  <c r="M6" i="6"/>
  <c r="N6" i="6" s="1"/>
  <c r="M7" i="6"/>
  <c r="N7" i="6" s="1"/>
  <c r="M8" i="6"/>
  <c r="N8" i="6" s="1"/>
  <c r="M9" i="6"/>
  <c r="N9" i="6" s="1"/>
  <c r="M10" i="6"/>
  <c r="N10" i="6" s="1"/>
  <c r="M11" i="6"/>
  <c r="N11" i="6" s="1"/>
  <c r="M12" i="6"/>
  <c r="N12" i="6" s="1"/>
  <c r="M13" i="6"/>
  <c r="N13" i="6" s="1"/>
  <c r="M14" i="6"/>
  <c r="N14" i="6" s="1"/>
  <c r="M15" i="6"/>
  <c r="N15" i="6" s="1"/>
  <c r="M16" i="6"/>
  <c r="N16" i="6" s="1"/>
  <c r="M17" i="6"/>
  <c r="N17" i="6" s="1"/>
  <c r="M18" i="6"/>
  <c r="N18" i="6" s="1"/>
  <c r="M19" i="6"/>
  <c r="N19" i="6" s="1"/>
  <c r="M20" i="6"/>
  <c r="N20" i="6" s="1"/>
  <c r="M21" i="6"/>
  <c r="N21" i="6" s="1"/>
  <c r="M22" i="6"/>
  <c r="N22" i="6" s="1"/>
  <c r="M23" i="6"/>
  <c r="N23" i="6" s="1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M33" i="6"/>
  <c r="N33" i="6" s="1"/>
  <c r="M34" i="6"/>
  <c r="N34" i="6" s="1"/>
  <c r="M35" i="6"/>
  <c r="N35" i="6" s="1"/>
  <c r="M36" i="6"/>
  <c r="N36" i="6" s="1"/>
  <c r="M37" i="6"/>
  <c r="N37" i="6" s="1"/>
  <c r="M38" i="6"/>
  <c r="N38" i="6" s="1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M55" i="6"/>
  <c r="N55" i="6" s="1"/>
  <c r="M56" i="6"/>
  <c r="N56" i="6" s="1"/>
  <c r="M57" i="6"/>
  <c r="N57" i="6" s="1"/>
  <c r="M58" i="6"/>
  <c r="N58" i="6" s="1"/>
  <c r="M59" i="6"/>
  <c r="N59" i="6" s="1"/>
  <c r="M60" i="6"/>
  <c r="N60" i="6" s="1"/>
  <c r="M61" i="6"/>
  <c r="N61" i="6" s="1"/>
  <c r="M2" i="6"/>
  <c r="N2" i="6" s="1"/>
  <c r="D62" i="6"/>
  <c r="I2" i="6" s="1"/>
  <c r="H62" i="6"/>
  <c r="J2" i="6" s="1"/>
  <c r="O5" i="2"/>
  <c r="Q5" i="2" s="1"/>
  <c r="X7" i="2"/>
  <c r="O12" i="2"/>
  <c r="Q12" i="2" s="1"/>
  <c r="O13" i="2"/>
  <c r="Q13" i="2" s="1"/>
  <c r="O14" i="2"/>
  <c r="Q14" i="2" s="1"/>
  <c r="O15" i="2"/>
  <c r="Q15" i="2" s="1"/>
  <c r="O16" i="2"/>
  <c r="Q16" i="2" s="1"/>
  <c r="O17" i="2"/>
  <c r="Q17" i="2" s="1"/>
  <c r="O18" i="2"/>
  <c r="Q18" i="2" s="1"/>
  <c r="O19" i="2"/>
  <c r="Q19" i="2" s="1"/>
  <c r="O20" i="2"/>
  <c r="Q20" i="2" s="1"/>
  <c r="O21" i="2"/>
  <c r="Q21" i="2" s="1"/>
  <c r="O22" i="2"/>
  <c r="Q22" i="2" s="1"/>
  <c r="O23" i="2"/>
  <c r="Q23" i="2" s="1"/>
  <c r="O25" i="2"/>
  <c r="Q25" i="2" s="1"/>
  <c r="O26" i="2"/>
  <c r="Q26" i="2" s="1"/>
  <c r="O27" i="2"/>
  <c r="Q27" i="2" s="1"/>
  <c r="O28" i="2"/>
  <c r="Q28" i="2" s="1"/>
  <c r="O29" i="2"/>
  <c r="Q29" i="2" s="1"/>
  <c r="O30" i="2"/>
  <c r="Q30" i="2" s="1"/>
  <c r="O31" i="2"/>
  <c r="Q31" i="2" s="1"/>
  <c r="O32" i="2"/>
  <c r="Q32" i="2" s="1"/>
  <c r="O33" i="2"/>
  <c r="Q33" i="2" s="1"/>
  <c r="O34" i="2"/>
  <c r="Q34" i="2" s="1"/>
  <c r="O35" i="2"/>
  <c r="Q35" i="2" s="1"/>
  <c r="O36" i="2"/>
  <c r="Q36" i="2" s="1"/>
  <c r="O37" i="2"/>
  <c r="Q37" i="2" s="1"/>
  <c r="O38" i="2"/>
  <c r="Q38" i="2" s="1"/>
  <c r="O39" i="2"/>
  <c r="Q39" i="2" s="1"/>
  <c r="O40" i="2"/>
  <c r="Q40" i="2" s="1"/>
  <c r="O41" i="2"/>
  <c r="Q41" i="2" s="1"/>
  <c r="O42" i="2"/>
  <c r="Q42" i="2" s="1"/>
  <c r="O43" i="2"/>
  <c r="Q43" i="2" s="1"/>
  <c r="O44" i="2"/>
  <c r="Q44" i="2" s="1"/>
  <c r="O45" i="2"/>
  <c r="Q45" i="2" s="1"/>
  <c r="O46" i="2"/>
  <c r="Q46" i="2" s="1"/>
  <c r="O47" i="2"/>
  <c r="Q47" i="2" s="1"/>
  <c r="O48" i="2"/>
  <c r="Q48" i="2" s="1"/>
  <c r="O49" i="2"/>
  <c r="Q49" i="2" s="1"/>
  <c r="O50" i="2"/>
  <c r="Q50" i="2" s="1"/>
  <c r="O52" i="2"/>
  <c r="Q52" i="2" s="1"/>
  <c r="O53" i="2"/>
  <c r="Q53" i="2" s="1"/>
  <c r="O54" i="2"/>
  <c r="Q54" i="2" s="1"/>
  <c r="O55" i="2"/>
  <c r="Q55" i="2" s="1"/>
  <c r="O56" i="2"/>
  <c r="Q56" i="2" s="1"/>
  <c r="O57" i="2"/>
  <c r="Q57" i="2" s="1"/>
  <c r="O58" i="2"/>
  <c r="Q58" i="2" s="1"/>
  <c r="O59" i="2"/>
  <c r="Q59" i="2" s="1"/>
  <c r="O60" i="2"/>
  <c r="Q60" i="2" s="1"/>
  <c r="O61" i="2"/>
  <c r="Q61" i="2" s="1"/>
  <c r="O2" i="2"/>
  <c r="Q2" i="2" s="1"/>
  <c r="O3" i="2"/>
  <c r="Q3" i="2" s="1"/>
  <c r="O4" i="2"/>
  <c r="Q4" i="2" s="1"/>
  <c r="O6" i="2"/>
  <c r="Q6" i="2" s="1"/>
  <c r="O7" i="2"/>
  <c r="Q7" i="2" s="1"/>
  <c r="O8" i="2"/>
  <c r="Q8" i="2" s="1"/>
  <c r="O9" i="2"/>
  <c r="Q9" i="2" s="1"/>
  <c r="O10" i="2"/>
  <c r="Q10" i="2" s="1"/>
  <c r="O11" i="2"/>
  <c r="Q11" i="2" s="1"/>
  <c r="O24" i="2"/>
  <c r="Q24" i="2" s="1"/>
  <c r="O51" i="2"/>
  <c r="Q51" i="2" s="1"/>
  <c r="M8" i="3"/>
  <c r="M3" i="3"/>
  <c r="M5" i="3"/>
  <c r="M6" i="3"/>
  <c r="M7" i="3"/>
  <c r="M10" i="3"/>
  <c r="M12" i="3"/>
  <c r="M14" i="3"/>
  <c r="M16" i="3"/>
  <c r="M18" i="3"/>
  <c r="M20" i="3"/>
  <c r="M22" i="3"/>
  <c r="M24" i="3"/>
  <c r="M26" i="3"/>
  <c r="M28" i="3"/>
  <c r="M30" i="3"/>
  <c r="M32" i="3"/>
  <c r="M34" i="3"/>
  <c r="M36" i="3"/>
  <c r="M38" i="3"/>
  <c r="M40" i="3"/>
  <c r="M42" i="3"/>
  <c r="M44" i="3"/>
  <c r="M46" i="3"/>
  <c r="M48" i="3"/>
  <c r="M50" i="3"/>
  <c r="M52" i="3"/>
  <c r="M54" i="3"/>
  <c r="M56" i="3"/>
  <c r="M58" i="3"/>
  <c r="M60" i="3"/>
  <c r="M2" i="3"/>
  <c r="M4" i="3"/>
  <c r="M9" i="3"/>
  <c r="M11" i="3"/>
  <c r="M13" i="3"/>
  <c r="M15" i="3"/>
  <c r="M17" i="3"/>
  <c r="M19" i="3"/>
  <c r="M21" i="3"/>
  <c r="M23" i="3"/>
  <c r="M25" i="3"/>
  <c r="M27" i="3"/>
  <c r="M29" i="3"/>
  <c r="M31" i="3"/>
  <c r="M33" i="3"/>
  <c r="M35" i="3"/>
  <c r="M37" i="3"/>
  <c r="M39" i="3"/>
  <c r="M41" i="3"/>
  <c r="M43" i="3"/>
  <c r="M45" i="3"/>
  <c r="M47" i="3"/>
  <c r="M49" i="3"/>
  <c r="M51" i="3"/>
  <c r="M53" i="3"/>
  <c r="M55" i="3"/>
  <c r="M57" i="3"/>
  <c r="M59" i="3"/>
  <c r="M61" i="3"/>
  <c r="E7" i="21" l="1"/>
  <c r="F7" i="21" s="1"/>
  <c r="E15" i="21"/>
  <c r="F15" i="21" s="1"/>
  <c r="E23" i="21"/>
  <c r="F23" i="21" s="1"/>
  <c r="E31" i="21"/>
  <c r="F31" i="21" s="1"/>
  <c r="E39" i="21"/>
  <c r="F39" i="21" s="1"/>
  <c r="E47" i="21"/>
  <c r="F47" i="21" s="1"/>
  <c r="E55" i="21"/>
  <c r="F55" i="21" s="1"/>
  <c r="E9" i="21"/>
  <c r="F9" i="21" s="1"/>
  <c r="E25" i="21"/>
  <c r="F25" i="21" s="1"/>
  <c r="E41" i="21"/>
  <c r="F41" i="21" s="1"/>
  <c r="E57" i="21"/>
  <c r="F57" i="21" s="1"/>
  <c r="E10" i="21"/>
  <c r="F10" i="21" s="1"/>
  <c r="E18" i="21"/>
  <c r="F18" i="21" s="1"/>
  <c r="E34" i="21"/>
  <c r="F34" i="21" s="1"/>
  <c r="E50" i="21"/>
  <c r="F50" i="21" s="1"/>
  <c r="E8" i="21"/>
  <c r="F8" i="21" s="1"/>
  <c r="E16" i="21"/>
  <c r="F16" i="21" s="1"/>
  <c r="E24" i="21"/>
  <c r="F24" i="21" s="1"/>
  <c r="E32" i="21"/>
  <c r="F32" i="21" s="1"/>
  <c r="E40" i="21"/>
  <c r="F40" i="21" s="1"/>
  <c r="E48" i="21"/>
  <c r="F48" i="21" s="1"/>
  <c r="E56" i="21"/>
  <c r="F56" i="21" s="1"/>
  <c r="E17" i="21"/>
  <c r="F17" i="21" s="1"/>
  <c r="E33" i="21"/>
  <c r="F33" i="21" s="1"/>
  <c r="E49" i="21"/>
  <c r="F49" i="21" s="1"/>
  <c r="E26" i="21"/>
  <c r="F26" i="21" s="1"/>
  <c r="E42" i="21"/>
  <c r="F42" i="21" s="1"/>
  <c r="E58" i="21"/>
  <c r="F58" i="21" s="1"/>
  <c r="E3" i="21"/>
  <c r="F3" i="21" s="1"/>
  <c r="E11" i="21"/>
  <c r="F11" i="21" s="1"/>
  <c r="E19" i="21"/>
  <c r="F19" i="21" s="1"/>
  <c r="E27" i="21"/>
  <c r="F27" i="21" s="1"/>
  <c r="E35" i="21"/>
  <c r="F35" i="21" s="1"/>
  <c r="E43" i="21"/>
  <c r="F43" i="21" s="1"/>
  <c r="E51" i="21"/>
  <c r="F51" i="21" s="1"/>
  <c r="E4" i="21"/>
  <c r="F4" i="21" s="1"/>
  <c r="E12" i="21"/>
  <c r="F12" i="21" s="1"/>
  <c r="E20" i="21"/>
  <c r="F20" i="21" s="1"/>
  <c r="E28" i="21"/>
  <c r="F28" i="21" s="1"/>
  <c r="E36" i="21"/>
  <c r="F36" i="21" s="1"/>
  <c r="E44" i="21"/>
  <c r="F44" i="21" s="1"/>
  <c r="E52" i="21"/>
  <c r="F52" i="21" s="1"/>
  <c r="E60" i="21"/>
  <c r="F60" i="21" s="1"/>
  <c r="E5" i="21"/>
  <c r="F5" i="21" s="1"/>
  <c r="E13" i="21"/>
  <c r="F13" i="21" s="1"/>
  <c r="E21" i="21"/>
  <c r="F21" i="21" s="1"/>
  <c r="E29" i="21"/>
  <c r="F29" i="21" s="1"/>
  <c r="E37" i="21"/>
  <c r="F37" i="21" s="1"/>
  <c r="E45" i="21"/>
  <c r="F45" i="21" s="1"/>
  <c r="E53" i="21"/>
  <c r="F53" i="21" s="1"/>
  <c r="E61" i="21"/>
  <c r="F61" i="21" s="1"/>
  <c r="E6" i="21"/>
  <c r="F6" i="21" s="1"/>
  <c r="E14" i="21"/>
  <c r="F14" i="21" s="1"/>
  <c r="E22" i="21"/>
  <c r="F22" i="21" s="1"/>
  <c r="E30" i="21"/>
  <c r="F30" i="21" s="1"/>
  <c r="E38" i="21"/>
  <c r="F38" i="21" s="1"/>
  <c r="E46" i="21"/>
  <c r="F46" i="21" s="1"/>
  <c r="E54" i="21"/>
  <c r="F54" i="21" s="1"/>
  <c r="E2" i="21"/>
  <c r="F2" i="21" s="1"/>
  <c r="E59" i="21"/>
  <c r="F59" i="21" s="1"/>
  <c r="L40" i="18"/>
  <c r="H2" i="20"/>
  <c r="I2" i="20" s="1"/>
  <c r="H61" i="20"/>
  <c r="I61" i="20" s="1"/>
  <c r="H60" i="20"/>
  <c r="I60" i="20" s="1"/>
  <c r="H59" i="20"/>
  <c r="I59" i="20" s="1"/>
  <c r="H58" i="20"/>
  <c r="I58" i="20" s="1"/>
  <c r="H57" i="20"/>
  <c r="I57" i="20" s="1"/>
  <c r="H56" i="20"/>
  <c r="I56" i="20" s="1"/>
  <c r="H55" i="20"/>
  <c r="I55" i="20" s="1"/>
  <c r="H54" i="20"/>
  <c r="I54" i="20" s="1"/>
  <c r="H53" i="20"/>
  <c r="I53" i="20" s="1"/>
  <c r="H52" i="20"/>
  <c r="I52" i="20" s="1"/>
  <c r="H51" i="20"/>
  <c r="I51" i="20" s="1"/>
  <c r="H50" i="20"/>
  <c r="I50" i="20" s="1"/>
  <c r="H49" i="20"/>
  <c r="I49" i="20" s="1"/>
  <c r="H48" i="20"/>
  <c r="I48" i="20" s="1"/>
  <c r="H47" i="20"/>
  <c r="I47" i="20" s="1"/>
  <c r="H46" i="20"/>
  <c r="I46" i="20" s="1"/>
  <c r="H45" i="20"/>
  <c r="I45" i="20" s="1"/>
  <c r="H44" i="20"/>
  <c r="I44" i="20" s="1"/>
  <c r="H43" i="20"/>
  <c r="I43" i="20" s="1"/>
  <c r="H42" i="20"/>
  <c r="I42" i="20" s="1"/>
  <c r="H41" i="20"/>
  <c r="I41" i="20" s="1"/>
  <c r="H40" i="20"/>
  <c r="I40" i="20" s="1"/>
  <c r="H39" i="20"/>
  <c r="I39" i="20" s="1"/>
  <c r="H38" i="20"/>
  <c r="I38" i="20" s="1"/>
  <c r="H37" i="20"/>
  <c r="I37" i="20" s="1"/>
  <c r="H36" i="20"/>
  <c r="I36" i="20" s="1"/>
  <c r="H35" i="20"/>
  <c r="I35" i="20" s="1"/>
  <c r="H34" i="20"/>
  <c r="I34" i="20" s="1"/>
  <c r="H33" i="20"/>
  <c r="I33" i="20" s="1"/>
  <c r="H32" i="20"/>
  <c r="I32" i="20" s="1"/>
  <c r="H31" i="20"/>
  <c r="I31" i="20" s="1"/>
  <c r="H30" i="20"/>
  <c r="I30" i="20" s="1"/>
  <c r="H29" i="20"/>
  <c r="I29" i="20" s="1"/>
  <c r="H28" i="20"/>
  <c r="I28" i="20" s="1"/>
  <c r="H27" i="20"/>
  <c r="I27" i="20" s="1"/>
  <c r="H26" i="20"/>
  <c r="I26" i="20" s="1"/>
  <c r="H25" i="20"/>
  <c r="I25" i="20" s="1"/>
  <c r="H24" i="20"/>
  <c r="I24" i="20" s="1"/>
  <c r="H23" i="20"/>
  <c r="I23" i="20" s="1"/>
  <c r="H22" i="20"/>
  <c r="I22" i="20" s="1"/>
  <c r="I21" i="20"/>
  <c r="H20" i="20"/>
  <c r="I20" i="20" s="1"/>
  <c r="H19" i="20"/>
  <c r="I19" i="20" s="1"/>
  <c r="H4" i="20"/>
  <c r="I4" i="20" s="1"/>
  <c r="H18" i="20"/>
  <c r="I18" i="20" s="1"/>
  <c r="H17" i="20"/>
  <c r="I17" i="20" s="1"/>
  <c r="H16" i="20"/>
  <c r="I16" i="20" s="1"/>
  <c r="H15" i="20"/>
  <c r="I15" i="20" s="1"/>
  <c r="H14" i="20"/>
  <c r="I14" i="20" s="1"/>
  <c r="H13" i="20"/>
  <c r="I13" i="20" s="1"/>
  <c r="H12" i="20"/>
  <c r="I12" i="20" s="1"/>
  <c r="H11" i="20"/>
  <c r="I11" i="20" s="1"/>
  <c r="H10" i="20"/>
  <c r="I10" i="20" s="1"/>
  <c r="H9" i="20"/>
  <c r="I9" i="20" s="1"/>
  <c r="H8" i="20"/>
  <c r="I8" i="20" s="1"/>
  <c r="H7" i="20"/>
  <c r="I7" i="20" s="1"/>
  <c r="H6" i="20"/>
  <c r="I6" i="20" s="1"/>
  <c r="H5" i="20"/>
  <c r="I5" i="20" s="1"/>
  <c r="H3" i="20"/>
  <c r="I3" i="20" s="1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2" i="20"/>
  <c r="J43" i="18"/>
  <c r="J58" i="18"/>
  <c r="J2" i="18"/>
  <c r="J61" i="18"/>
  <c r="J60" i="18"/>
  <c r="J59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2" i="18"/>
  <c r="J41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H43" i="18"/>
  <c r="K43" i="18" s="1"/>
  <c r="H58" i="18"/>
  <c r="K58" i="18" s="1"/>
  <c r="H2" i="18"/>
  <c r="H61" i="18"/>
  <c r="K61" i="18" s="1"/>
  <c r="H60" i="18"/>
  <c r="K60" i="18" s="1"/>
  <c r="H59" i="18"/>
  <c r="K59" i="18" s="1"/>
  <c r="H57" i="18"/>
  <c r="K57" i="18" s="1"/>
  <c r="H56" i="18"/>
  <c r="K56" i="18" s="1"/>
  <c r="H55" i="18"/>
  <c r="K55" i="18" s="1"/>
  <c r="H54" i="18"/>
  <c r="K54" i="18" s="1"/>
  <c r="H53" i="18"/>
  <c r="K53" i="18" s="1"/>
  <c r="H52" i="18"/>
  <c r="K52" i="18" s="1"/>
  <c r="H51" i="18"/>
  <c r="K51" i="18" s="1"/>
  <c r="H50" i="18"/>
  <c r="K50" i="18" s="1"/>
  <c r="H49" i="18"/>
  <c r="K49" i="18" s="1"/>
  <c r="H48" i="18"/>
  <c r="K48" i="18" s="1"/>
  <c r="H47" i="18"/>
  <c r="K47" i="18" s="1"/>
  <c r="H46" i="18"/>
  <c r="K46" i="18" s="1"/>
  <c r="H45" i="18"/>
  <c r="K45" i="18" s="1"/>
  <c r="H44" i="18"/>
  <c r="K44" i="18" s="1"/>
  <c r="H42" i="18"/>
  <c r="K42" i="18" s="1"/>
  <c r="H41" i="18"/>
  <c r="K41" i="18" s="1"/>
  <c r="H39" i="18"/>
  <c r="K39" i="18" s="1"/>
  <c r="H38" i="18"/>
  <c r="K38" i="18" s="1"/>
  <c r="H37" i="18"/>
  <c r="K37" i="18" s="1"/>
  <c r="H36" i="18"/>
  <c r="K36" i="18" s="1"/>
  <c r="H35" i="18"/>
  <c r="K35" i="18" s="1"/>
  <c r="H34" i="18"/>
  <c r="K34" i="18" s="1"/>
  <c r="H33" i="18"/>
  <c r="K33" i="18" s="1"/>
  <c r="H32" i="18"/>
  <c r="K32" i="18" s="1"/>
  <c r="H31" i="18"/>
  <c r="K31" i="18" s="1"/>
  <c r="H30" i="18"/>
  <c r="K30" i="18" s="1"/>
  <c r="H29" i="18"/>
  <c r="K29" i="18" s="1"/>
  <c r="H28" i="18"/>
  <c r="K28" i="18" s="1"/>
  <c r="H27" i="18"/>
  <c r="H26" i="18"/>
  <c r="K26" i="18" s="1"/>
  <c r="H25" i="18"/>
  <c r="K25" i="18" s="1"/>
  <c r="H24" i="18"/>
  <c r="K24" i="18" s="1"/>
  <c r="H23" i="18"/>
  <c r="K23" i="18" s="1"/>
  <c r="H22" i="18"/>
  <c r="K22" i="18" s="1"/>
  <c r="H21" i="18"/>
  <c r="K21" i="18" s="1"/>
  <c r="H20" i="18"/>
  <c r="K20" i="18" s="1"/>
  <c r="H19" i="18"/>
  <c r="K19" i="18" s="1"/>
  <c r="H18" i="18"/>
  <c r="K18" i="18" s="1"/>
  <c r="H17" i="18"/>
  <c r="K17" i="18" s="1"/>
  <c r="H16" i="18"/>
  <c r="K16" i="18" s="1"/>
  <c r="H15" i="18"/>
  <c r="K15" i="18" s="1"/>
  <c r="H14" i="18"/>
  <c r="K14" i="18" s="1"/>
  <c r="H13" i="18"/>
  <c r="K13" i="18" s="1"/>
  <c r="H12" i="18"/>
  <c r="K12" i="18" s="1"/>
  <c r="H11" i="18"/>
  <c r="K11" i="18" s="1"/>
  <c r="H10" i="18"/>
  <c r="K10" i="18" s="1"/>
  <c r="H9" i="18"/>
  <c r="K9" i="18" s="1"/>
  <c r="H8" i="18"/>
  <c r="K8" i="18" s="1"/>
  <c r="H7" i="18"/>
  <c r="K7" i="18" s="1"/>
  <c r="H6" i="18"/>
  <c r="K6" i="18" s="1"/>
  <c r="H5" i="18"/>
  <c r="K5" i="18" s="1"/>
  <c r="H4" i="18"/>
  <c r="K4" i="18" s="1"/>
  <c r="H3" i="18"/>
  <c r="K3" i="18" s="1"/>
  <c r="E43" i="18"/>
  <c r="E58" i="18"/>
  <c r="E2" i="18"/>
  <c r="E61" i="18"/>
  <c r="E60" i="18"/>
  <c r="E59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2" i="18"/>
  <c r="E41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C43" i="18"/>
  <c r="F43" i="18" s="1"/>
  <c r="L43" i="18" s="1"/>
  <c r="C58" i="18"/>
  <c r="F58" i="18" s="1"/>
  <c r="L58" i="18" s="1"/>
  <c r="C2" i="18"/>
  <c r="C61" i="18"/>
  <c r="F61" i="18" s="1"/>
  <c r="L61" i="18" s="1"/>
  <c r="C60" i="18"/>
  <c r="F60" i="18" s="1"/>
  <c r="L60" i="18" s="1"/>
  <c r="C59" i="18"/>
  <c r="F59" i="18" s="1"/>
  <c r="L59" i="18" s="1"/>
  <c r="C57" i="18"/>
  <c r="F57" i="18" s="1"/>
  <c r="L57" i="18" s="1"/>
  <c r="C56" i="18"/>
  <c r="F56" i="18" s="1"/>
  <c r="L56" i="18" s="1"/>
  <c r="C55" i="18"/>
  <c r="F55" i="18" s="1"/>
  <c r="L55" i="18" s="1"/>
  <c r="C54" i="18"/>
  <c r="F54" i="18" s="1"/>
  <c r="L54" i="18" s="1"/>
  <c r="C53" i="18"/>
  <c r="F53" i="18" s="1"/>
  <c r="L53" i="18" s="1"/>
  <c r="C52" i="18"/>
  <c r="F52" i="18" s="1"/>
  <c r="L52" i="18" s="1"/>
  <c r="C51" i="18"/>
  <c r="F51" i="18" s="1"/>
  <c r="L51" i="18" s="1"/>
  <c r="C50" i="18"/>
  <c r="F50" i="18" s="1"/>
  <c r="L50" i="18" s="1"/>
  <c r="C49" i="18"/>
  <c r="F49" i="18" s="1"/>
  <c r="L49" i="18" s="1"/>
  <c r="C48" i="18"/>
  <c r="F48" i="18" s="1"/>
  <c r="L48" i="18" s="1"/>
  <c r="C47" i="18"/>
  <c r="F47" i="18" s="1"/>
  <c r="L47" i="18" s="1"/>
  <c r="C46" i="18"/>
  <c r="F46" i="18" s="1"/>
  <c r="L46" i="18" s="1"/>
  <c r="C45" i="18"/>
  <c r="C44" i="18"/>
  <c r="C42" i="18"/>
  <c r="C41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M59" i="8"/>
  <c r="O59" i="8" s="1"/>
  <c r="M57" i="8"/>
  <c r="O57" i="8" s="1"/>
  <c r="M55" i="8"/>
  <c r="O55" i="8" s="1"/>
  <c r="M54" i="8"/>
  <c r="O54" i="8" s="1"/>
  <c r="M53" i="8"/>
  <c r="O53" i="8" s="1"/>
  <c r="M52" i="8"/>
  <c r="O52" i="8" s="1"/>
  <c r="M50" i="8"/>
  <c r="O50" i="8" s="1"/>
  <c r="M61" i="8"/>
  <c r="O61" i="8" s="1"/>
  <c r="M60" i="8"/>
  <c r="O60" i="8" s="1"/>
  <c r="M2" i="8"/>
  <c r="O2" i="8" s="1"/>
  <c r="K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3" i="6"/>
  <c r="J4" i="6"/>
  <c r="J5" i="6"/>
  <c r="F63" i="21" l="1"/>
  <c r="F62" i="21"/>
  <c r="J14" i="20"/>
  <c r="I63" i="20"/>
  <c r="J9" i="20" s="1"/>
  <c r="J49" i="20"/>
  <c r="J46" i="20"/>
  <c r="J16" i="20"/>
  <c r="F45" i="18"/>
  <c r="L45" i="18" s="1"/>
  <c r="K27" i="18"/>
  <c r="F44" i="18"/>
  <c r="L44" i="18" s="1"/>
  <c r="F42" i="18"/>
  <c r="L42" i="18" s="1"/>
  <c r="F41" i="18"/>
  <c r="L41" i="18" s="1"/>
  <c r="F39" i="18"/>
  <c r="L39" i="18" s="1"/>
  <c r="F38" i="18"/>
  <c r="L38" i="18" s="1"/>
  <c r="F37" i="18"/>
  <c r="L37" i="18" s="1"/>
  <c r="K2" i="18"/>
  <c r="K62" i="18" s="1"/>
  <c r="H62" i="18"/>
  <c r="C62" i="18"/>
  <c r="F2" i="18"/>
  <c r="J62" i="18"/>
  <c r="F36" i="18"/>
  <c r="L36" i="18" s="1"/>
  <c r="F35" i="18"/>
  <c r="L35" i="18" s="1"/>
  <c r="F34" i="18"/>
  <c r="L34" i="18" s="1"/>
  <c r="F33" i="18"/>
  <c r="L33" i="18" s="1"/>
  <c r="F32" i="18"/>
  <c r="L32" i="18" s="1"/>
  <c r="F31" i="18"/>
  <c r="L31" i="18" s="1"/>
  <c r="F30" i="18"/>
  <c r="L30" i="18" s="1"/>
  <c r="F29" i="18"/>
  <c r="L29" i="18" s="1"/>
  <c r="F28" i="18"/>
  <c r="L28" i="18" s="1"/>
  <c r="F27" i="18"/>
  <c r="L27" i="18" s="1"/>
  <c r="F26" i="18"/>
  <c r="L26" i="18" s="1"/>
  <c r="F25" i="18"/>
  <c r="L25" i="18" s="1"/>
  <c r="F24" i="18"/>
  <c r="L24" i="18" s="1"/>
  <c r="F23" i="18"/>
  <c r="L23" i="18" s="1"/>
  <c r="F22" i="18"/>
  <c r="L22" i="18" s="1"/>
  <c r="F21" i="18"/>
  <c r="L21" i="18" s="1"/>
  <c r="F20" i="18"/>
  <c r="L20" i="18" s="1"/>
  <c r="F19" i="18"/>
  <c r="L19" i="18" s="1"/>
  <c r="F18" i="18"/>
  <c r="L18" i="18" s="1"/>
  <c r="F17" i="18"/>
  <c r="L17" i="18" s="1"/>
  <c r="F16" i="18"/>
  <c r="L16" i="18" s="1"/>
  <c r="F15" i="18"/>
  <c r="L15" i="18" s="1"/>
  <c r="F14" i="18"/>
  <c r="L14" i="18" s="1"/>
  <c r="F13" i="18"/>
  <c r="L13" i="18" s="1"/>
  <c r="F12" i="18"/>
  <c r="L12" i="18" s="1"/>
  <c r="F11" i="18"/>
  <c r="L11" i="18" s="1"/>
  <c r="F10" i="18"/>
  <c r="L10" i="18" s="1"/>
  <c r="F9" i="18"/>
  <c r="L9" i="18" s="1"/>
  <c r="F8" i="18"/>
  <c r="L8" i="18" s="1"/>
  <c r="F7" i="18"/>
  <c r="L7" i="18" s="1"/>
  <c r="F6" i="18"/>
  <c r="L6" i="18" s="1"/>
  <c r="F5" i="18"/>
  <c r="L5" i="18" s="1"/>
  <c r="F4" i="18"/>
  <c r="L4" i="18" s="1"/>
  <c r="F3" i="18"/>
  <c r="L3" i="18" s="1"/>
  <c r="E62" i="18"/>
  <c r="K3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4" i="6"/>
  <c r="K5" i="6"/>
  <c r="G10" i="21" l="1"/>
  <c r="G12" i="21"/>
  <c r="G13" i="21"/>
  <c r="G46" i="21"/>
  <c r="G45" i="21"/>
  <c r="G11" i="21"/>
  <c r="G20" i="21"/>
  <c r="G15" i="21"/>
  <c r="G41" i="21"/>
  <c r="G57" i="21"/>
  <c r="G8" i="21"/>
  <c r="G36" i="21"/>
  <c r="G50" i="21"/>
  <c r="G17" i="21"/>
  <c r="G58" i="21"/>
  <c r="G33" i="21"/>
  <c r="G23" i="21"/>
  <c r="G7" i="21"/>
  <c r="G24" i="21"/>
  <c r="G19" i="21"/>
  <c r="G25" i="21"/>
  <c r="G26" i="21"/>
  <c r="G28" i="21"/>
  <c r="G21" i="21"/>
  <c r="G43" i="21"/>
  <c r="G32" i="21"/>
  <c r="G27" i="21"/>
  <c r="G39" i="21"/>
  <c r="G60" i="21"/>
  <c r="G49" i="21"/>
  <c r="G2" i="21"/>
  <c r="G18" i="21"/>
  <c r="G47" i="21"/>
  <c r="G5" i="21"/>
  <c r="G30" i="21"/>
  <c r="G38" i="21"/>
  <c r="G14" i="21"/>
  <c r="G16" i="21"/>
  <c r="G40" i="21"/>
  <c r="G29" i="21"/>
  <c r="G35" i="21"/>
  <c r="G4" i="21"/>
  <c r="G48" i="21"/>
  <c r="G34" i="21"/>
  <c r="G59" i="21"/>
  <c r="G61" i="21"/>
  <c r="G42" i="21"/>
  <c r="G31" i="21"/>
  <c r="G51" i="21"/>
  <c r="G22" i="21"/>
  <c r="G37" i="21"/>
  <c r="G52" i="21"/>
  <c r="G53" i="21"/>
  <c r="G44" i="21"/>
  <c r="G6" i="21"/>
  <c r="G54" i="21"/>
  <c r="G3" i="21"/>
  <c r="G56" i="21"/>
  <c r="G55" i="21"/>
  <c r="G9" i="21"/>
  <c r="J58" i="20"/>
  <c r="J38" i="20"/>
  <c r="J56" i="20"/>
  <c r="J30" i="20"/>
  <c r="J55" i="20"/>
  <c r="J44" i="20"/>
  <c r="J6" i="20"/>
  <c r="J5" i="20"/>
  <c r="J19" i="20"/>
  <c r="J47" i="20"/>
  <c r="J8" i="20"/>
  <c r="J36" i="20"/>
  <c r="J28" i="20"/>
  <c r="J40" i="20"/>
  <c r="J34" i="20"/>
  <c r="J50" i="20"/>
  <c r="J12" i="20"/>
  <c r="J41" i="20"/>
  <c r="J45" i="20"/>
  <c r="J25" i="20"/>
  <c r="J32" i="20"/>
  <c r="J39" i="20"/>
  <c r="J7" i="20"/>
  <c r="J10" i="20"/>
  <c r="J4" i="20"/>
  <c r="J2" i="20"/>
  <c r="J29" i="20"/>
  <c r="J60" i="20"/>
  <c r="J51" i="20"/>
  <c r="J11" i="20"/>
  <c r="J17" i="20"/>
  <c r="J35" i="20"/>
  <c r="J61" i="20"/>
  <c r="J27" i="20"/>
  <c r="J53" i="20"/>
  <c r="J13" i="20"/>
  <c r="J48" i="20"/>
  <c r="J26" i="20"/>
  <c r="J22" i="20"/>
  <c r="J15" i="20"/>
  <c r="J57" i="20"/>
  <c r="J3" i="20"/>
  <c r="J18" i="20"/>
  <c r="J37" i="20"/>
  <c r="J59" i="20"/>
  <c r="J24" i="20"/>
  <c r="J31" i="20"/>
  <c r="J20" i="20"/>
  <c r="J23" i="20"/>
  <c r="J54" i="20"/>
  <c r="J42" i="20"/>
  <c r="J21" i="20"/>
  <c r="J52" i="20"/>
  <c r="J43" i="20"/>
  <c r="J33" i="20"/>
  <c r="L2" i="18"/>
  <c r="F62" i="18"/>
  <c r="L62" i="18" l="1"/>
  <c r="M2" i="18" s="1"/>
  <c r="M21" i="18" l="1"/>
  <c r="M22" i="18"/>
  <c r="M23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4" i="18"/>
  <c r="M37" i="18"/>
  <c r="M38" i="18"/>
  <c r="M39" i="18"/>
  <c r="M41" i="18"/>
  <c r="M42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9" i="18"/>
  <c r="M60" i="18"/>
  <c r="M61" i="18"/>
  <c r="M58" i="18"/>
  <c r="M43" i="18"/>
  <c r="M40" i="18"/>
  <c r="M62" i="18" l="1"/>
</calcChain>
</file>

<file path=xl/sharedStrings.xml><?xml version="1.0" encoding="utf-8"?>
<sst xmlns="http://schemas.openxmlformats.org/spreadsheetml/2006/main" count="2033" uniqueCount="621">
  <si>
    <t>Francja</t>
  </si>
  <si>
    <t>Hiszpania</t>
  </si>
  <si>
    <t>USA</t>
  </si>
  <si>
    <t>Turcja</t>
  </si>
  <si>
    <t>Włochy</t>
  </si>
  <si>
    <t>Meksyk</t>
  </si>
  <si>
    <t>Wielka Brytania</t>
  </si>
  <si>
    <t>Japonia</t>
  </si>
  <si>
    <t>Grecja</t>
  </si>
  <si>
    <t>Tajlandia</t>
  </si>
  <si>
    <t>Austria</t>
  </si>
  <si>
    <t>Portugalia</t>
  </si>
  <si>
    <t>Malezja</t>
  </si>
  <si>
    <t>Chiny</t>
  </si>
  <si>
    <t>Holandia</t>
  </si>
  <si>
    <t>Indie</t>
  </si>
  <si>
    <t>Kanada</t>
  </si>
  <si>
    <t>Wietnam</t>
  </si>
  <si>
    <t>Maroko</t>
  </si>
  <si>
    <t>Egipt</t>
  </si>
  <si>
    <t>Indonezja</t>
  </si>
  <si>
    <t>Węgry</t>
  </si>
  <si>
    <t>Singapur</t>
  </si>
  <si>
    <t>Albania</t>
  </si>
  <si>
    <t>Kazachstan</t>
  </si>
  <si>
    <t>Tunezja</t>
  </si>
  <si>
    <t>RPA</t>
  </si>
  <si>
    <t>Szwecja</t>
  </si>
  <si>
    <t>Bułgaria</t>
  </si>
  <si>
    <t>Republika Dominikany</t>
  </si>
  <si>
    <t>Australia</t>
  </si>
  <si>
    <t>Uzbekistan</t>
  </si>
  <si>
    <t>Brazylia</t>
  </si>
  <si>
    <t>Kolumbia</t>
  </si>
  <si>
    <t>Kambodża</t>
  </si>
  <si>
    <t>Argentyna</t>
  </si>
  <si>
    <t>Irlandia</t>
  </si>
  <si>
    <t>Filipiny</t>
  </si>
  <si>
    <t>Portoryko</t>
  </si>
  <si>
    <t>Chile</t>
  </si>
  <si>
    <t>Gruzja</t>
  </si>
  <si>
    <t>Andora</t>
  </si>
  <si>
    <t>Cypr</t>
  </si>
  <si>
    <t>Sri Lanka</t>
  </si>
  <si>
    <t>Nowa Zelandia</t>
  </si>
  <si>
    <t>Rwanda</t>
  </si>
  <si>
    <t>Fidżi</t>
  </si>
  <si>
    <t>Finlandia</t>
  </si>
  <si>
    <t xml:space="preserve">Korea Południowa </t>
  </si>
  <si>
    <t>Bośnia i Hercegowina</t>
  </si>
  <si>
    <t>Czechy</t>
  </si>
  <si>
    <t>Malediwy</t>
  </si>
  <si>
    <t>Gwatemala</t>
  </si>
  <si>
    <t>Słowenia</t>
  </si>
  <si>
    <t>Peru</t>
  </si>
  <si>
    <t>Tanzania</t>
  </si>
  <si>
    <t>Polinezja Francuska</t>
  </si>
  <si>
    <t>Seszele</t>
  </si>
  <si>
    <t>Malta</t>
  </si>
  <si>
    <t>Chorwacja</t>
  </si>
  <si>
    <t>-</t>
  </si>
  <si>
    <t>Agadir</t>
  </si>
  <si>
    <t>Tanger</t>
  </si>
  <si>
    <t>As-Suwajra</t>
  </si>
  <si>
    <t>miasto-państwo</t>
  </si>
  <si>
    <t>Aktau</t>
  </si>
  <si>
    <t>Neum</t>
  </si>
  <si>
    <t>Nazwa destynacji</t>
  </si>
  <si>
    <t>Miasto 1</t>
  </si>
  <si>
    <t>Miasto 2</t>
  </si>
  <si>
    <t>Cap d'Agde</t>
  </si>
  <si>
    <t>Miasto 3</t>
  </si>
  <si>
    <t>Nicea</t>
  </si>
  <si>
    <t>Benidorm</t>
  </si>
  <si>
    <t>Myrtle Beach</t>
  </si>
  <si>
    <t>Side</t>
  </si>
  <si>
    <t>Rimini</t>
  </si>
  <si>
    <t>Cancún</t>
  </si>
  <si>
    <t>Newquay</t>
  </si>
  <si>
    <t>Shimoda</t>
  </si>
  <si>
    <t>Ateny</t>
  </si>
  <si>
    <t>Jomtien Beach</t>
  </si>
  <si>
    <t>Portimão</t>
  </si>
  <si>
    <t>Kuantan</t>
  </si>
  <si>
    <t>Xiamen</t>
  </si>
  <si>
    <t>Callantsoog</t>
  </si>
  <si>
    <t>Puducherry</t>
  </si>
  <si>
    <t>Vancouver</t>
  </si>
  <si>
    <t>Phu Quoc</t>
  </si>
  <si>
    <t>Ajn Suchna</t>
  </si>
  <si>
    <t>Uluwatu</t>
  </si>
  <si>
    <t>Wlora</t>
  </si>
  <si>
    <t>Susa</t>
  </si>
  <si>
    <t>Durban</t>
  </si>
  <si>
    <t>Ystad</t>
  </si>
  <si>
    <t>Sweti Włas</t>
  </si>
  <si>
    <t>Las Terrenas</t>
  </si>
  <si>
    <t>Sydney</t>
  </si>
  <si>
    <t>Florianópolis</t>
  </si>
  <si>
    <t>Santa Marta</t>
  </si>
  <si>
    <t>Preăh Sihanŭk</t>
  </si>
  <si>
    <t>Bundoran</t>
  </si>
  <si>
    <t>Malaga</t>
  </si>
  <si>
    <t>Panama City Beach</t>
  </si>
  <si>
    <t>Antalya</t>
  </si>
  <si>
    <t>Playa del Carmen</t>
  </si>
  <si>
    <t>Weymouth</t>
  </si>
  <si>
    <t>Nikiti</t>
  </si>
  <si>
    <t>Patong Beach</t>
  </si>
  <si>
    <t>Lagos</t>
  </si>
  <si>
    <t>Kuala Terengganu</t>
  </si>
  <si>
    <t>Qingdao</t>
  </si>
  <si>
    <t>Egmond aan Zee</t>
  </si>
  <si>
    <t>Calangute</t>
  </si>
  <si>
    <t>Victoria</t>
  </si>
  <si>
    <t>Vung Tau</t>
  </si>
  <si>
    <t>El Alamein</t>
  </si>
  <si>
    <t>Seminyak</t>
  </si>
  <si>
    <t>Saranda</t>
  </si>
  <si>
    <t>Monastir</t>
  </si>
  <si>
    <t>Ballito</t>
  </si>
  <si>
    <t>Strömstad</t>
  </si>
  <si>
    <t>Warna</t>
  </si>
  <si>
    <t>Sosúa</t>
  </si>
  <si>
    <t>Cowes</t>
  </si>
  <si>
    <t>Ubatuba</t>
  </si>
  <si>
    <t>Coveñas</t>
  </si>
  <si>
    <t>Kep</t>
  </si>
  <si>
    <t>Villa Gesell</t>
  </si>
  <si>
    <t>Downings</t>
  </si>
  <si>
    <t xml:space="preserve"> Lido di Jesolo</t>
  </si>
  <si>
    <t>Manila</t>
  </si>
  <si>
    <t>Dorado</t>
  </si>
  <si>
    <t>Coquimbo</t>
  </si>
  <si>
    <t>Ureki</t>
  </si>
  <si>
    <t>Pafos</t>
  </si>
  <si>
    <t>Hikkaduwa</t>
  </si>
  <si>
    <t>Whitianga</t>
  </si>
  <si>
    <t>Puerto Madryn</t>
  </si>
  <si>
    <t>Boracay</t>
  </si>
  <si>
    <t>Rincón</t>
  </si>
  <si>
    <t>Viña del Mar</t>
  </si>
  <si>
    <t>Kobuleti</t>
  </si>
  <si>
    <t>Protaras</t>
  </si>
  <si>
    <t>Tangalle</t>
  </si>
  <si>
    <t>Auckland</t>
  </si>
  <si>
    <t>Savusavu</t>
  </si>
  <si>
    <t>Matei</t>
  </si>
  <si>
    <t>Kalajoki</t>
  </si>
  <si>
    <t>Hanko</t>
  </si>
  <si>
    <t>Pusan</t>
  </si>
  <si>
    <t>Czedżu</t>
  </si>
  <si>
    <t>Seogwipo</t>
  </si>
  <si>
    <t>Hulhumale</t>
  </si>
  <si>
    <t>Male</t>
  </si>
  <si>
    <t>El Paredón Buena Vista</t>
  </si>
  <si>
    <t>Livingston</t>
  </si>
  <si>
    <t>Portorož</t>
  </si>
  <si>
    <t>Izola</t>
  </si>
  <si>
    <t>Máncora</t>
  </si>
  <si>
    <t>Paracas</t>
  </si>
  <si>
    <t>Nungwi</t>
  </si>
  <si>
    <t>Kiwengwa</t>
  </si>
  <si>
    <t>Haapiti</t>
  </si>
  <si>
    <t>La Digue</t>
  </si>
  <si>
    <t>St Paul's Bay</t>
  </si>
  <si>
    <t>St. Julian’s</t>
  </si>
  <si>
    <t>Split</t>
  </si>
  <si>
    <t>Zadar</t>
  </si>
  <si>
    <t>Cannes</t>
  </si>
  <si>
    <t>Marbella</t>
  </si>
  <si>
    <t>Destin</t>
  </si>
  <si>
    <t>Alanya</t>
  </si>
  <si>
    <t>Bibione</t>
  </si>
  <si>
    <t>Puerto Peñasco</t>
  </si>
  <si>
    <t>Whitby</t>
  </si>
  <si>
    <t>Ishigaki</t>
  </si>
  <si>
    <t>Chania</t>
  </si>
  <si>
    <t>Hua Hin</t>
  </si>
  <si>
    <t>Albufeira</t>
  </si>
  <si>
    <t>Port Dickson</t>
  </si>
  <si>
    <t>Sanya</t>
  </si>
  <si>
    <t>Zandvoort</t>
  </si>
  <si>
    <t>Varkala</t>
  </si>
  <si>
    <t>Ucluelet</t>
  </si>
  <si>
    <t>Da Nang</t>
  </si>
  <si>
    <t>Hurghada</t>
  </si>
  <si>
    <t>Canggu</t>
  </si>
  <si>
    <t>Durrës</t>
  </si>
  <si>
    <t>Hammamet</t>
  </si>
  <si>
    <t>Kapsztad</t>
  </si>
  <si>
    <t>Sölvesborg</t>
  </si>
  <si>
    <t>Słoneczny Brzeg</t>
  </si>
  <si>
    <t>Punta Cana</t>
  </si>
  <si>
    <t>Gold Coast</t>
  </si>
  <si>
    <t>Rio de Janeiro</t>
  </si>
  <si>
    <t>Cartagena de Indias</t>
  </si>
  <si>
    <t>Koh Rong</t>
  </si>
  <si>
    <t>Mar del Plata</t>
  </si>
  <si>
    <t>Galway</t>
  </si>
  <si>
    <t>El Nido</t>
  </si>
  <si>
    <t>San Juan</t>
  </si>
  <si>
    <t>La Serena</t>
  </si>
  <si>
    <t>Batumi</t>
  </si>
  <si>
    <t>Larnaka</t>
  </si>
  <si>
    <t>Weligama</t>
  </si>
  <si>
    <t>Mount Maunganui</t>
  </si>
  <si>
    <t>Nadi</t>
  </si>
  <si>
    <t>Helsinki</t>
  </si>
  <si>
    <t>Thoddoo</t>
  </si>
  <si>
    <t>Monterrico</t>
  </si>
  <si>
    <t>Piran</t>
  </si>
  <si>
    <t>Lima</t>
  </si>
  <si>
    <t>Jambiani</t>
  </si>
  <si>
    <t>Punaauia</t>
  </si>
  <si>
    <t>Beau Vallon</t>
  </si>
  <si>
    <t>Sliema</t>
  </si>
  <si>
    <t>Trogir</t>
  </si>
  <si>
    <t>Miyako-jima</t>
  </si>
  <si>
    <t>Bora Bora</t>
  </si>
  <si>
    <t>Miasto</t>
  </si>
  <si>
    <t>MAE</t>
  </si>
  <si>
    <t>Różnica</t>
  </si>
  <si>
    <t>Nazwa plaży</t>
  </si>
  <si>
    <t>TripAdvisor</t>
  </si>
  <si>
    <t>Condé Nast</t>
  </si>
  <si>
    <t>CNN</t>
  </si>
  <si>
    <t>World's 50</t>
  </si>
  <si>
    <t>SUMA</t>
  </si>
  <si>
    <t>Isla Pasion</t>
  </si>
  <si>
    <t>Elafonissi Beach</t>
  </si>
  <si>
    <t>Balos Lagoon</t>
  </si>
  <si>
    <t>Praia da Falésia</t>
  </si>
  <si>
    <t>Banana Beach</t>
  </si>
  <si>
    <t>La Jolla Cove</t>
  </si>
  <si>
    <t>La Pelosa Beach</t>
  </si>
  <si>
    <t>Manly Beach</t>
  </si>
  <si>
    <t>Falassarna Beach</t>
  </si>
  <si>
    <t>Playa de Muro</t>
  </si>
  <si>
    <t>Paleokastritsa Beach</t>
  </si>
  <si>
    <t>Kelingking Beach</t>
  </si>
  <si>
    <t>Clearwater Beach</t>
  </si>
  <si>
    <t>Spiaggia dei Conigli</t>
  </si>
  <si>
    <t>Bondi Beach</t>
  </si>
  <si>
    <t>Playa de Maspalomas</t>
  </si>
  <si>
    <t>Plage de Palombaggia</t>
  </si>
  <si>
    <t>Ipanema Beach</t>
  </si>
  <si>
    <t>Spiaggia La Cinta</t>
  </si>
  <si>
    <t>Playa Palomino</t>
  </si>
  <si>
    <t>Flamenco Beach</t>
  </si>
  <si>
    <t>Playa de Los Muertos</t>
  </si>
  <si>
    <t>Iztuzu Beach</t>
  </si>
  <si>
    <t>White Beach</t>
  </si>
  <si>
    <t>Portstewart Strand</t>
  </si>
  <si>
    <t>Coffee Bay</t>
  </si>
  <si>
    <t>Praia do Sancho</t>
  </si>
  <si>
    <t>Hot Water Beach</t>
  </si>
  <si>
    <t>Long Beach</t>
  </si>
  <si>
    <t>Paradise Beach</t>
  </si>
  <si>
    <t>Lover’s Beach</t>
  </si>
  <si>
    <t>Byron Bay</t>
  </si>
  <si>
    <t>An Bang Beach</t>
  </si>
  <si>
    <t>Bandon</t>
  </si>
  <si>
    <t>Puka Beach</t>
  </si>
  <si>
    <t>La Concha</t>
  </si>
  <si>
    <t>Las Salinas</t>
  </si>
  <si>
    <t>Unawatuna</t>
  </si>
  <si>
    <t>Jeffreys Bay</t>
  </si>
  <si>
    <t>Oludeniz Beach</t>
  </si>
  <si>
    <t>Capo Sant’Andrea</t>
  </si>
  <si>
    <t>Venice Beach</t>
  </si>
  <si>
    <t>Plage de Piémanson</t>
  </si>
  <si>
    <t>Kaiteriteri Beach</t>
  </si>
  <si>
    <t>Isshiki Beach</t>
  </si>
  <si>
    <t>Radhanagar Beach</t>
  </si>
  <si>
    <t>Pulau Derawan</t>
  </si>
  <si>
    <t>Haad Rin, Ko Pha Ngan</t>
  </si>
  <si>
    <t>Essaouira</t>
  </si>
  <si>
    <t>Beidaihe</t>
  </si>
  <si>
    <t>Na’ama Bay</t>
  </si>
  <si>
    <t>Akajima</t>
  </si>
  <si>
    <t>Phra Nang Beach</t>
  </si>
  <si>
    <t>Cavendish Beach</t>
  </si>
  <si>
    <t>Southwestern Beach</t>
  </si>
  <si>
    <t>Porto da Barra</t>
  </si>
  <si>
    <t>Tanjung Rhu</t>
  </si>
  <si>
    <t>Natadola Beach</t>
  </si>
  <si>
    <t>Patnem Beach</t>
  </si>
  <si>
    <t>D-Day beaches</t>
  </si>
  <si>
    <t>Canggu Beach</t>
  </si>
  <si>
    <t>Karekare</t>
  </si>
  <si>
    <t>Bahia Solano</t>
  </si>
  <si>
    <t>Cayo Paraiso</t>
  </si>
  <si>
    <t>Margaret River</t>
  </si>
  <si>
    <t>Navagio Beach</t>
  </si>
  <si>
    <t>Sunrise Beach</t>
  </si>
  <si>
    <t>Sun Island Beach</t>
  </si>
  <si>
    <t>Egremni Beach</t>
  </si>
  <si>
    <t>Boulders Beach</t>
  </si>
  <si>
    <t>Juara Beach</t>
  </si>
  <si>
    <t>Maya Bay</t>
  </si>
  <si>
    <t>Nihiwatu Beach</t>
  </si>
  <si>
    <t>Luskentyre Beach</t>
  </si>
  <si>
    <t>Pulau Perhentian Kecil</t>
  </si>
  <si>
    <t>Tulum</t>
  </si>
  <si>
    <t>Whitehaven Beach</t>
  </si>
  <si>
    <t>Palaui Island</t>
  </si>
  <si>
    <t>Wineglass Bay</t>
  </si>
  <si>
    <t>Anse Source d’Argent</t>
  </si>
  <si>
    <t>Rabbit Beach</t>
  </si>
  <si>
    <t>Grande Anse Beach</t>
  </si>
  <si>
    <t>Cala Goloritze</t>
  </si>
  <si>
    <t>Entalula Beach</t>
  </si>
  <si>
    <t>Bang Bao Beach</t>
  </si>
  <si>
    <t>Fteri Beach</t>
  </si>
  <si>
    <t>PK 9 Beach</t>
  </si>
  <si>
    <t>Canto De La Playa</t>
  </si>
  <si>
    <t>Turquoise Bay</t>
  </si>
  <si>
    <t>Pink Beach</t>
  </si>
  <si>
    <t>Voutoumi Beach</t>
  </si>
  <si>
    <t>Playa De Rodas</t>
  </si>
  <si>
    <t>Playa Balandra</t>
  </si>
  <si>
    <t>Pontal Do Atalaia</t>
  </si>
  <si>
    <t>Wharton Beach</t>
  </si>
  <si>
    <t>Pulau Palambak</t>
  </si>
  <si>
    <t>Freedom Beach</t>
  </si>
  <si>
    <t>Anse Georgette</t>
  </si>
  <si>
    <t>Bahia De Las Aguilas</t>
  </si>
  <si>
    <t>Porto Katsiki</t>
  </si>
  <si>
    <t>Nudey Beach</t>
  </si>
  <si>
    <t>Bon Bon Beach</t>
  </si>
  <si>
    <t>Goyambokka Beach</t>
  </si>
  <si>
    <t>Siesta Beach</t>
  </si>
  <si>
    <t>Cathedral Cove Beach</t>
  </si>
  <si>
    <t>Santa Giulia</t>
  </si>
  <si>
    <t>Keem Beach</t>
  </si>
  <si>
    <t>Kuramathi Sand Bank</t>
  </si>
  <si>
    <t>Occ</t>
  </si>
  <si>
    <t>Uni</t>
  </si>
  <si>
    <t>Destynacja poj.</t>
  </si>
  <si>
    <t xml:space="preserve">PWT 1 [°C]	</t>
  </si>
  <si>
    <t xml:space="preserve">BSL 1	</t>
  </si>
  <si>
    <t xml:space="preserve">PWT 2 [°C]	</t>
  </si>
  <si>
    <t xml:space="preserve">PWT 3 [°C]	</t>
  </si>
  <si>
    <t>Znormalizowane PWT [0-1]</t>
  </si>
  <si>
    <t>Znormalizowane BSL [0-1]</t>
  </si>
  <si>
    <t>CAI [0-1]</t>
  </si>
  <si>
    <t>BRS [0-1]</t>
  </si>
  <si>
    <t>FCS [0-1]</t>
  </si>
  <si>
    <t>Śr. PWT  [°C]</t>
  </si>
  <si>
    <t>Śr. BSL [mies.]</t>
  </si>
  <si>
    <t>BSL 2 [mies.]</t>
  </si>
  <si>
    <t>BSL 3 [mies.]</t>
  </si>
  <si>
    <t>Forbes</t>
  </si>
  <si>
    <t>NatGeo</t>
  </si>
  <si>
    <t>TimeOut</t>
  </si>
  <si>
    <t>Atlas&amp;Boots</t>
  </si>
  <si>
    <t>Mount Fuji</t>
  </si>
  <si>
    <t>Mount Olympus</t>
  </si>
  <si>
    <t>Nazwa góry</t>
  </si>
  <si>
    <t>Mount Blanc</t>
  </si>
  <si>
    <t>El Capitan</t>
  </si>
  <si>
    <t>Grand Teton National Park</t>
  </si>
  <si>
    <t>Denali</t>
  </si>
  <si>
    <t>Mount Rainier</t>
  </si>
  <si>
    <t>Half Dome</t>
  </si>
  <si>
    <t>Mount Whitney</t>
  </si>
  <si>
    <t>Aiguille Du Dru</t>
  </si>
  <si>
    <t>Vesuvius</t>
  </si>
  <si>
    <t>Matterhorn</t>
  </si>
  <si>
    <t>Tre Cime Di Lavaredo</t>
  </si>
  <si>
    <t>Popocatépetl</t>
  </si>
  <si>
    <t xml:space="preserve"> Ben Nevis</t>
  </si>
  <si>
    <t>Mount Everest</t>
  </si>
  <si>
    <t>Huangshan</t>
  </si>
  <si>
    <t>K2</t>
  </si>
  <si>
    <t>Hua Shan</t>
  </si>
  <si>
    <t xml:space="preserve"> The Rocky Mountains</t>
  </si>
  <si>
    <t>Mount Thor</t>
  </si>
  <si>
    <t>Mound Asgard</t>
  </si>
  <si>
    <t xml:space="preserve"> Polar Sun Spire</t>
  </si>
  <si>
    <t>Mount Assiniboine</t>
  </si>
  <si>
    <t>Mount Sinai</t>
  </si>
  <si>
    <t xml:space="preserve">Table Mountain </t>
  </si>
  <si>
    <t>Uluru</t>
  </si>
  <si>
    <t>Fitz Roy</t>
  </si>
  <si>
    <t>Cerro Torre</t>
  </si>
  <si>
    <t>Errigal Mountain</t>
  </si>
  <si>
    <t>Slieve League</t>
  </si>
  <si>
    <t xml:space="preserve"> Cuernos del Paine</t>
  </si>
  <si>
    <t xml:space="preserve"> Cerro Torre</t>
  </si>
  <si>
    <t>Torres del Paine</t>
  </si>
  <si>
    <t>Mount Cook</t>
  </si>
  <si>
    <t>Mitre Peak</t>
  </si>
  <si>
    <t>Triglav</t>
  </si>
  <si>
    <t>Alpamayo</t>
  </si>
  <si>
    <t>Huayna Picchu</t>
  </si>
  <si>
    <t>Vinicunca</t>
  </si>
  <si>
    <t>Kilimandżaro</t>
  </si>
  <si>
    <t>Nazwa obiektu naturalnego</t>
  </si>
  <si>
    <t>U.S. News</t>
  </si>
  <si>
    <t>CNT</t>
  </si>
  <si>
    <t>Uluru-Kata Tjuta National Park</t>
  </si>
  <si>
    <t>Torres del Paine National Park</t>
  </si>
  <si>
    <t>Yellowstone National Park</t>
  </si>
  <si>
    <t>Denali National Park</t>
  </si>
  <si>
    <t> Los Glaciares National Park</t>
  </si>
  <si>
    <t>Goreme National Park</t>
  </si>
  <si>
    <t>Doi Inthanon National Park</t>
  </si>
  <si>
    <t>Cinque Terre National Park</t>
  </si>
  <si>
    <t>Plitvice Lakes National Park</t>
  </si>
  <si>
    <t>Guilin Lijiang National Park</t>
  </si>
  <si>
    <t>Kruger National Park</t>
  </si>
  <si>
    <t>Serengeti National Park</t>
  </si>
  <si>
    <t>Bandhavgarh National Park</t>
  </si>
  <si>
    <t>Fiordland National Park</t>
  </si>
  <si>
    <t>Banff National Park</t>
  </si>
  <si>
    <t>Zion National Park</t>
  </si>
  <si>
    <t>Iguazu National Park</t>
  </si>
  <si>
    <t>The Amazon</t>
  </si>
  <si>
    <t>Arashiyama Bamboo Grove</t>
  </si>
  <si>
    <t>Atacama Desert</t>
  </si>
  <si>
    <t>Cameron Highlands</t>
  </si>
  <si>
    <t>Capri</t>
  </si>
  <si>
    <t>Caucasus Mountains</t>
  </si>
  <si>
    <t>Cliffs of Moher</t>
  </si>
  <si>
    <t>The Dalmatian coast</t>
  </si>
  <si>
    <t>Étretat</t>
  </si>
  <si>
    <t>Finnish Lapland</t>
  </si>
  <si>
    <t>The Grand Canyon</t>
  </si>
  <si>
    <t>The Great Barrier Reef</t>
  </si>
  <si>
    <t>Ha Long Bay</t>
  </si>
  <si>
    <t>Isle of Skye</t>
  </si>
  <si>
    <t>Lake Bled</t>
  </si>
  <si>
    <t>Lake Como</t>
  </si>
  <si>
    <t>Lake Tekapo</t>
  </si>
  <si>
    <t>Las Coloradas Lagoon in Yucatán</t>
  </si>
  <si>
    <t>Machu Picchu</t>
  </si>
  <si>
    <t>Lençóis Maranhenses National Park</t>
  </si>
  <si>
    <t>Mount Kilimanjaro</t>
  </si>
  <si>
    <t>Namaqualand</t>
  </si>
  <si>
    <t>Palawan</t>
  </si>
  <si>
    <t>Pamukkale</t>
  </si>
  <si>
    <t>Provence</t>
  </si>
  <si>
    <t>Raja Ampat</t>
  </si>
  <si>
    <t>Sequoia National Park</t>
  </si>
  <si>
    <t>Vaadhoo Island</t>
  </si>
  <si>
    <t>Valle de Cocora</t>
  </si>
  <si>
    <t>Wulingyuan Scenic Area</t>
  </si>
  <si>
    <t>Picos de Europa</t>
  </si>
  <si>
    <t>Komodo National Park</t>
  </si>
  <si>
    <t> Douro Valley</t>
  </si>
  <si>
    <t>Big Sur</t>
  </si>
  <si>
    <t>Ullswater</t>
  </si>
  <si>
    <t> Capo Testa</t>
  </si>
  <si>
    <t>Brecon Beacons</t>
  </si>
  <si>
    <t>Choquequirao</t>
  </si>
  <si>
    <t>New Forest</t>
  </si>
  <si>
    <t>Hà Giang</t>
  </si>
  <si>
    <t>Lakeland</t>
  </si>
  <si>
    <t>Lillafüred</t>
  </si>
  <si>
    <t>West Cork</t>
  </si>
  <si>
    <t>Highlands</t>
  </si>
  <si>
    <t>Dakhla</t>
  </si>
  <si>
    <t>Zhangye National Geopark</t>
  </si>
  <si>
    <t>Storms River</t>
  </si>
  <si>
    <t>Bacalar Lagoon</t>
  </si>
  <si>
    <t>Stelvio National Park</t>
  </si>
  <si>
    <t>Janjske Otoke</t>
  </si>
  <si>
    <t>Erg Chebbi</t>
  </si>
  <si>
    <t>Three Whale Rock</t>
  </si>
  <si>
    <t>Koh Rong Samloem</t>
  </si>
  <si>
    <t>Ella</t>
  </si>
  <si>
    <t>Puglia</t>
  </si>
  <si>
    <t xml:space="preserve">Iguazu National Park </t>
  </si>
  <si>
    <t>Rhossili Bay</t>
  </si>
  <si>
    <t>Laamu Atoll</t>
  </si>
  <si>
    <t>Monument Valley Navajo Tribal Park</t>
  </si>
  <si>
    <t>Mount Desert Island</t>
  </si>
  <si>
    <t>Ngorongoro Crater</t>
  </si>
  <si>
    <t>James Bond Island</t>
  </si>
  <si>
    <t>Skellig Michael</t>
  </si>
  <si>
    <t>Santorini Caldera</t>
  </si>
  <si>
    <t>Mount Rainier National Park</t>
  </si>
  <si>
    <t>Oludeniz</t>
  </si>
  <si>
    <t>Scala dei Turchi</t>
  </si>
  <si>
    <t>Giant's Causeway</t>
  </si>
  <si>
    <t>Jasper National Park</t>
  </si>
  <si>
    <t>Bisti/De-Na-Zin Wilderness Area</t>
  </si>
  <si>
    <t>Terra Nova National Park</t>
  </si>
  <si>
    <t>Lake Tahoe</t>
  </si>
  <si>
    <t>Rangiroa</t>
  </si>
  <si>
    <t>Glacier Bay National Park and Preserve </t>
  </si>
  <si>
    <t>Mount Toubkal: Atlas Mountains</t>
  </si>
  <si>
    <t>Valley of Flowers National Park</t>
  </si>
  <si>
    <t>Occ (Góry)</t>
  </si>
  <si>
    <t>Uni (Góry)</t>
  </si>
  <si>
    <t>Uni (Natura)</t>
  </si>
  <si>
    <t>Occ (Natura)</t>
  </si>
  <si>
    <t>Occ TOTAL</t>
  </si>
  <si>
    <t xml:space="preserve">Korekta dla Uni </t>
  </si>
  <si>
    <t>Uni TOTAL</t>
  </si>
  <si>
    <t>MAX</t>
  </si>
  <si>
    <t>Occ Norm.</t>
  </si>
  <si>
    <t>Uni Norm.</t>
  </si>
  <si>
    <t>MetaRank</t>
  </si>
  <si>
    <t>UNESCO</t>
  </si>
  <si>
    <t>UNESCO Norm.</t>
  </si>
  <si>
    <t>NRS</t>
  </si>
  <si>
    <t>Najwyższy punkt (m)</t>
  </si>
  <si>
    <t>Nazwa obiektu</t>
  </si>
  <si>
    <t>Angkor Wat: Siem Reap</t>
  </si>
  <si>
    <t>The Times</t>
  </si>
  <si>
    <t>Sydney Opera House</t>
  </si>
  <si>
    <t>Eiffel Tower</t>
  </si>
  <si>
    <t>Taj Mahal</t>
  </si>
  <si>
    <t>The Great Wall of China</t>
  </si>
  <si>
    <t>Mont-Saint-Michel</t>
  </si>
  <si>
    <t>The Acropolis</t>
  </si>
  <si>
    <t>Golden Gate Bridge</t>
  </si>
  <si>
    <t>Leaning Tower of Pisa</t>
  </si>
  <si>
    <t>Buckingham Palace</t>
  </si>
  <si>
    <t>Basilica de la Sagrada Familia</t>
  </si>
  <si>
    <t>Christ the Redeemer</t>
  </si>
  <si>
    <t>Blue Mosque</t>
  </si>
  <si>
    <t>The Colosseum</t>
  </si>
  <si>
    <t>The Grand Palace</t>
  </si>
  <si>
    <t>Statue of Liberty</t>
  </si>
  <si>
    <t>Stonehenge</t>
  </si>
  <si>
    <t>Potala Palace</t>
  </si>
  <si>
    <t>Chichen Itza</t>
  </si>
  <si>
    <t>NASA Kennedy Space Center Visitor Complex</t>
  </si>
  <si>
    <t>Louvre Museum</t>
  </si>
  <si>
    <t>Anne Frank House</t>
  </si>
  <si>
    <t>Duomo Di Milano</t>
  </si>
  <si>
    <t>Plaza de España</t>
  </si>
  <si>
    <t>Vasa Museum</t>
  </si>
  <si>
    <t>Royal Yacht Britannia</t>
  </si>
  <si>
    <t>Van Gogh Museum</t>
  </si>
  <si>
    <t>Archaeological Park of Pompeii</t>
  </si>
  <si>
    <t>Jardin Majorelle</t>
  </si>
  <si>
    <t>Musée d'Orsay</t>
  </si>
  <si>
    <t>Kilmainham Gaol Museum</t>
  </si>
  <si>
    <t>Rijksmuseum</t>
  </si>
  <si>
    <t>Fushimi Inari-taisha Shrine</t>
  </si>
  <si>
    <t>War Remnants Museum</t>
  </si>
  <si>
    <t>Venice</t>
  </si>
  <si>
    <t>Jaipur City</t>
  </si>
  <si>
    <t>Samarkand</t>
  </si>
  <si>
    <t>Old Bridge Area in Mostar</t>
  </si>
  <si>
    <t>The Appian Way</t>
  </si>
  <si>
    <t>Mtskheta</t>
  </si>
  <si>
    <t>Kandy</t>
  </si>
  <si>
    <t>Kyoto</t>
  </si>
  <si>
    <t>Luxor</t>
  </si>
  <si>
    <t>The Great Pyramid of Giza</t>
  </si>
  <si>
    <t>HCI</t>
  </si>
  <si>
    <t>Powierzhnia lasów (%)</t>
  </si>
  <si>
    <t>NTI</t>
  </si>
  <si>
    <t>FNS</t>
  </si>
  <si>
    <t>FNS Norm.</t>
  </si>
  <si>
    <t>Barbados</t>
  </si>
  <si>
    <t>Mauritius</t>
  </si>
  <si>
    <t>Safety and Security pillar</t>
  </si>
  <si>
    <t>Human Resources and Labour Market pillar</t>
  </si>
  <si>
    <t>Air Transport Infrastructure pillar</t>
  </si>
  <si>
    <t>Ground and Port Infrastructure pillar</t>
  </si>
  <si>
    <t>Tourist Services and Infrastructure pillar</t>
  </si>
  <si>
    <t>ICT Readiness pillar</t>
  </si>
  <si>
    <t>Terytoria dodatkowe</t>
  </si>
  <si>
    <t>Jamajka </t>
  </si>
  <si>
    <t>Dominikana</t>
  </si>
  <si>
    <t>Średnia</t>
  </si>
  <si>
    <t>ATI Norm.</t>
  </si>
  <si>
    <t>GPI Norm.</t>
  </si>
  <si>
    <t>TAS</t>
  </si>
  <si>
    <t>TSS </t>
  </si>
  <si>
    <t>TIAI</t>
  </si>
  <si>
    <t>TIAI Norm.</t>
  </si>
  <si>
    <t>TSI Norm.</t>
  </si>
  <si>
    <t>ICT Norm.</t>
  </si>
  <si>
    <t>Lot Maj (zł)</t>
  </si>
  <si>
    <t>Lot Lipiec (zł)</t>
  </si>
  <si>
    <t>Lot Listopad (zł)</t>
  </si>
  <si>
    <t>Cost of Living (Numbeo)</t>
  </si>
  <si>
    <t>Pozycja w "Koszyku Turysty"</t>
  </si>
  <si>
    <t>Francja (EUR)</t>
  </si>
  <si>
    <t>Polinezja Francuska (EUR)</t>
  </si>
  <si>
    <t>Meal (Inexpensive)</t>
  </si>
  <si>
    <t>McDonald's Combo</t>
  </si>
  <si>
    <t>Domestic Beer (Draft)</t>
  </si>
  <si>
    <t>Cappuccino</t>
  </si>
  <si>
    <t>Soft Drink (Coke)</t>
  </si>
  <si>
    <t>Bananas (1 kg)</t>
  </si>
  <si>
    <t>Local Transport Ticket</t>
  </si>
  <si>
    <t>Taxi (1 km)</t>
  </si>
  <si>
    <t>SUMA KOSZYKA:</t>
  </si>
  <si>
    <t>Water (0,33l Restaurant)</t>
  </si>
  <si>
    <t>Water (1,5l Market)</t>
  </si>
  <si>
    <t>Meal  for Two (Mid-Range)</t>
  </si>
  <si>
    <t>Średni Lot (zł)</t>
  </si>
  <si>
    <t>MIN</t>
  </si>
  <si>
    <t>FAS Norm.</t>
  </si>
  <si>
    <t>LCL Norm.</t>
  </si>
  <si>
    <t>TAI</t>
  </si>
  <si>
    <t>TAI Norm.</t>
  </si>
  <si>
    <t>Safety and Security pillar (WEF)</t>
  </si>
  <si>
    <t>Nazwa kraju SIDS</t>
  </si>
  <si>
    <t>Jamajka</t>
  </si>
  <si>
    <t>Safety Index (Numbeo)</t>
  </si>
  <si>
    <t>ŚREDNIA</t>
  </si>
  <si>
    <t>WEF Norm.</t>
  </si>
  <si>
    <t>Numbeo Norm</t>
  </si>
  <si>
    <t>TSI</t>
  </si>
  <si>
    <t>Zabytki i historia</t>
  </si>
  <si>
    <t>Plaże i morza</t>
  </si>
  <si>
    <t>Góry i natura</t>
  </si>
  <si>
    <t>Infrastruktura</t>
  </si>
  <si>
    <t>Niskie koszty</t>
  </si>
  <si>
    <t>Bezpieczeństwo</t>
  </si>
  <si>
    <t>R = 109,6 / 108,31 ~ 1,012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</si>
</sst>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3" x14ac:knownFonts="1">
    <font>
      <sz val="11"/>
      <color theme="1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  <charset val="238"/>
    </font>
    <font>
      <sz val="11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10"/>
      <color rgb="FF202122"/>
      <name val="Arial"/>
      <family val="2"/>
      <charset val="238"/>
    </font>
    <font>
      <sz val="11"/>
      <color theme="1"/>
      <name val="Aptos Narrow"/>
      <family val="2"/>
      <scheme val="minor"/>
    </font>
    <font>
      <b/>
      <sz val="1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5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164" fontId="2" fillId="0" borderId="0" xfId="0" applyNumberFormat="1" applyFont="1"/>
    <xf numFmtId="0" fontId="8" fillId="0" borderId="0" xfId="0" applyFont="1"/>
    <xf numFmtId="0" fontId="8" fillId="0" borderId="0" xfId="1" applyFont="1" applyFill="1"/>
    <xf numFmtId="0" fontId="8" fillId="0" borderId="0" xfId="1" applyFont="1" applyFill="1" applyBorder="1"/>
    <xf numFmtId="0" fontId="9" fillId="0" borderId="0" xfId="0" applyFont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8" fillId="0" borderId="2" xfId="0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0" borderId="2" xfId="0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8" fillId="0" borderId="2" xfId="1" applyFont="1" applyFill="1" applyBorder="1"/>
    <xf numFmtId="0" fontId="10" fillId="0" borderId="2" xfId="0" applyFont="1" applyBorder="1"/>
    <xf numFmtId="0" fontId="5" fillId="0" borderId="2" xfId="0" applyFont="1" applyBorder="1"/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wrapText="1"/>
    </xf>
    <xf numFmtId="165" fontId="0" fillId="0" borderId="2" xfId="0" applyNumberFormat="1" applyBorder="1"/>
    <xf numFmtId="2" fontId="0" fillId="0" borderId="2" xfId="0" applyNumberFormat="1" applyBorder="1"/>
    <xf numFmtId="166" fontId="0" fillId="0" borderId="2" xfId="0" applyNumberFormat="1" applyBorder="1"/>
    <xf numFmtId="0" fontId="0" fillId="0" borderId="3" xfId="0" applyBorder="1"/>
    <xf numFmtId="0" fontId="2" fillId="0" borderId="0" xfId="0" applyFont="1" applyAlignment="1">
      <alignment horizontal="right"/>
    </xf>
    <xf numFmtId="166" fontId="0" fillId="0" borderId="0" xfId="0" applyNumberFormat="1"/>
    <xf numFmtId="2" fontId="0" fillId="0" borderId="0" xfId="0" applyNumberFormat="1"/>
    <xf numFmtId="165" fontId="7" fillId="0" borderId="2" xfId="0" applyNumberFormat="1" applyFont="1" applyBorder="1"/>
    <xf numFmtId="2" fontId="7" fillId="0" borderId="2" xfId="0" applyNumberFormat="1" applyFont="1" applyBorder="1"/>
    <xf numFmtId="165" fontId="2" fillId="0" borderId="2" xfId="0" applyNumberFormat="1" applyFont="1" applyBorder="1"/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1" applyFont="1" applyFill="1" applyBorder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2" xfId="1" applyFont="1" applyFill="1" applyBorder="1"/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2" fillId="0" borderId="7" xfId="0" applyFont="1" applyBorder="1"/>
    <xf numFmtId="0" fontId="2" fillId="0" borderId="6" xfId="0" applyFont="1" applyBorder="1"/>
    <xf numFmtId="0" fontId="0" fillId="0" borderId="6" xfId="0" applyBorder="1"/>
    <xf numFmtId="0" fontId="4" fillId="0" borderId="2" xfId="1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/>
    </xf>
    <xf numFmtId="2" fontId="0" fillId="0" borderId="2" xfId="0" applyNumberFormat="1" applyBorder="1" applyAlignment="1">
      <alignment horizontal="right"/>
    </xf>
    <xf numFmtId="0" fontId="0" fillId="0" borderId="0" xfId="0" applyAlignment="1">
      <alignment horizontal="right"/>
    </xf>
    <xf numFmtId="0" fontId="4" fillId="0" borderId="2" xfId="0" applyFont="1" applyBorder="1"/>
    <xf numFmtId="2" fontId="2" fillId="0" borderId="2" xfId="0" applyNumberFormat="1" applyFont="1" applyBorder="1"/>
    <xf numFmtId="165" fontId="0" fillId="0" borderId="2" xfId="0" applyNumberForma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center"/>
    </xf>
    <xf numFmtId="165" fontId="7" fillId="0" borderId="7" xfId="0" applyNumberFormat="1" applyFont="1" applyBorder="1"/>
    <xf numFmtId="0" fontId="0" fillId="3" borderId="0" xfId="0" applyFill="1"/>
    <xf numFmtId="0" fontId="0" fillId="5" borderId="0" xfId="0" applyFill="1"/>
    <xf numFmtId="0" fontId="0" fillId="5" borderId="2" xfId="0" applyFill="1" applyBorder="1"/>
    <xf numFmtId="0" fontId="0" fillId="3" borderId="2" xfId="0" applyFill="1" applyBorder="1"/>
    <xf numFmtId="0" fontId="0" fillId="4" borderId="2" xfId="0" applyFill="1" applyBorder="1"/>
    <xf numFmtId="0" fontId="2" fillId="5" borderId="0" xfId="0" applyFont="1" applyFill="1"/>
    <xf numFmtId="0" fontId="7" fillId="5" borderId="0" xfId="0" applyFont="1" applyFill="1"/>
    <xf numFmtId="2" fontId="0" fillId="0" borderId="1" xfId="0" applyNumberFormat="1" applyBorder="1"/>
    <xf numFmtId="166" fontId="0" fillId="0" borderId="0" xfId="0" applyNumberFormat="1" applyAlignment="1">
      <alignment horizontal="right"/>
    </xf>
    <xf numFmtId="166" fontId="0" fillId="0" borderId="2" xfId="0" applyNumberFormat="1" applyBorder="1" applyAlignment="1">
      <alignment horizontal="right"/>
    </xf>
    <xf numFmtId="166" fontId="12" fillId="0" borderId="2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12" fillId="0" borderId="2" xfId="0" applyFont="1" applyBorder="1" applyAlignment="1">
      <alignment horizontal="right" vertical="center" wrapText="1"/>
    </xf>
    <xf numFmtId="0" fontId="0" fillId="0" borderId="4" xfId="0" applyBorder="1" applyAlignment="1">
      <alignment horizontal="right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Neutralny" xfId="1" builtinId="2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7731-7C90-4D0F-B7DF-B628FD8311DF}">
  <dimension ref="A1:O80"/>
  <sheetViews>
    <sheetView topLeftCell="A22" zoomScaleNormal="100" workbookViewId="0">
      <selection activeCell="O1" sqref="O1:O61"/>
    </sheetView>
  </sheetViews>
  <sheetFormatPr defaultRowHeight="14.4" x14ac:dyDescent="0.3"/>
  <cols>
    <col min="1" max="1" width="18.33203125" customWidth="1"/>
    <col min="2" max="2" width="10.5546875" hidden="1" customWidth="1"/>
    <col min="3" max="3" width="36.109375" customWidth="1"/>
    <col min="5" max="5" width="9.6640625" customWidth="1"/>
    <col min="6" max="6" width="7.5546875" customWidth="1"/>
    <col min="8" max="8" width="5.77734375" customWidth="1"/>
    <col min="10" max="10" width="20.77734375" customWidth="1"/>
    <col min="11" max="11" width="4.5546875" customWidth="1"/>
    <col min="12" max="12" width="4.109375" customWidth="1"/>
  </cols>
  <sheetData>
    <row r="1" spans="1:15" x14ac:dyDescent="0.3">
      <c r="A1" s="20" t="s">
        <v>67</v>
      </c>
      <c r="B1" s="10"/>
      <c r="C1" s="10" t="s">
        <v>510</v>
      </c>
      <c r="D1" s="53" t="s">
        <v>400</v>
      </c>
      <c r="E1" s="53" t="s">
        <v>224</v>
      </c>
      <c r="F1" s="53" t="s">
        <v>355</v>
      </c>
      <c r="G1" s="53" t="s">
        <v>512</v>
      </c>
      <c r="H1" s="23" t="s">
        <v>228</v>
      </c>
      <c r="J1" s="10" t="s">
        <v>67</v>
      </c>
      <c r="K1" s="23" t="s">
        <v>337</v>
      </c>
      <c r="L1" s="23" t="s">
        <v>338</v>
      </c>
      <c r="M1" s="23" t="s">
        <v>505</v>
      </c>
      <c r="N1" s="23" t="s">
        <v>506</v>
      </c>
      <c r="O1" s="23" t="s">
        <v>556</v>
      </c>
    </row>
    <row r="2" spans="1:15" x14ac:dyDescent="0.3">
      <c r="A2" s="77" t="s">
        <v>0</v>
      </c>
      <c r="B2" s="37" t="s">
        <v>0</v>
      </c>
      <c r="C2" s="11" t="s">
        <v>514</v>
      </c>
      <c r="D2" s="11">
        <v>1</v>
      </c>
      <c r="E2" s="11"/>
      <c r="F2" s="11"/>
      <c r="G2" s="11"/>
      <c r="H2" s="11">
        <f>SUM(D2:G2)</f>
        <v>1</v>
      </c>
      <c r="J2" s="14" t="s">
        <v>0</v>
      </c>
      <c r="K2" s="11">
        <f t="shared" ref="K2:K33" si="0">SUMIF(B:B, J2, H:H)</f>
        <v>6</v>
      </c>
      <c r="L2" s="11">
        <f t="shared" ref="L2:L33" si="1">COUNTIF(B:B, J2)</f>
        <v>4</v>
      </c>
      <c r="M2" s="27">
        <f>0.3*(K2/MAX($K$2:$K$61))+0.7*(L2/MAX($L$2:$L$61))</f>
        <v>0.76666666666666661</v>
      </c>
      <c r="N2" s="11">
        <v>44</v>
      </c>
      <c r="O2" s="35">
        <f t="shared" ref="O2:O33" si="2">(0.5*M2) + (0.5*(N2/MAX(N:N)))</f>
        <v>0.78333333333333333</v>
      </c>
    </row>
    <row r="3" spans="1:15" x14ac:dyDescent="0.3">
      <c r="A3" s="78"/>
      <c r="B3" s="37" t="s">
        <v>0</v>
      </c>
      <c r="C3" s="19" t="s">
        <v>517</v>
      </c>
      <c r="D3" s="11">
        <v>1</v>
      </c>
      <c r="E3" s="11">
        <v>1</v>
      </c>
      <c r="F3" s="11">
        <v>1</v>
      </c>
      <c r="G3" s="11"/>
      <c r="H3" s="11">
        <f t="shared" ref="H3:H60" si="3">SUM(D3:G3)</f>
        <v>3</v>
      </c>
      <c r="J3" s="14" t="s">
        <v>1</v>
      </c>
      <c r="K3" s="11">
        <f t="shared" si="0"/>
        <v>3</v>
      </c>
      <c r="L3" s="11">
        <f t="shared" si="1"/>
        <v>2</v>
      </c>
      <c r="M3" s="27">
        <f t="shared" ref="M3:M61" si="4">0.3*(K3/MAX($K$2:$K$61))+0.7*(L3/MAX($L$2:$L$61))</f>
        <v>0.3833333333333333</v>
      </c>
      <c r="N3" s="11">
        <v>44</v>
      </c>
      <c r="O3" s="35">
        <f t="shared" si="2"/>
        <v>0.59166666666666667</v>
      </c>
    </row>
    <row r="4" spans="1:15" x14ac:dyDescent="0.3">
      <c r="A4" s="78"/>
      <c r="B4" s="37" t="s">
        <v>0</v>
      </c>
      <c r="C4" s="19" t="s">
        <v>532</v>
      </c>
      <c r="D4" s="11"/>
      <c r="E4" s="11">
        <v>1</v>
      </c>
      <c r="F4" s="11"/>
      <c r="G4" s="11"/>
      <c r="H4" s="11">
        <f t="shared" si="3"/>
        <v>1</v>
      </c>
      <c r="J4" s="14" t="s">
        <v>2</v>
      </c>
      <c r="K4" s="11">
        <f t="shared" si="0"/>
        <v>3</v>
      </c>
      <c r="L4" s="11">
        <f t="shared" si="1"/>
        <v>3</v>
      </c>
      <c r="M4" s="27">
        <f t="shared" si="4"/>
        <v>0.5</v>
      </c>
      <c r="N4" s="11">
        <v>12</v>
      </c>
      <c r="O4" s="35">
        <f t="shared" si="2"/>
        <v>0.35909090909090907</v>
      </c>
    </row>
    <row r="5" spans="1:15" x14ac:dyDescent="0.3">
      <c r="A5" s="79"/>
      <c r="B5" s="37" t="s">
        <v>0</v>
      </c>
      <c r="C5" s="19" t="s">
        <v>541</v>
      </c>
      <c r="D5" s="11"/>
      <c r="E5" s="11">
        <v>1</v>
      </c>
      <c r="F5" s="11"/>
      <c r="G5" s="11"/>
      <c r="H5" s="11">
        <f t="shared" si="3"/>
        <v>1</v>
      </c>
      <c r="J5" s="17" t="s">
        <v>3</v>
      </c>
      <c r="K5" s="11">
        <f t="shared" si="0"/>
        <v>1</v>
      </c>
      <c r="L5" s="11">
        <f t="shared" si="1"/>
        <v>1</v>
      </c>
      <c r="M5" s="27">
        <f t="shared" si="4"/>
        <v>0.16666666666666666</v>
      </c>
      <c r="N5" s="11">
        <v>22</v>
      </c>
      <c r="O5" s="35">
        <f t="shared" si="2"/>
        <v>0.28333333333333333</v>
      </c>
    </row>
    <row r="6" spans="1:15" x14ac:dyDescent="0.3">
      <c r="A6" s="77" t="s">
        <v>1</v>
      </c>
      <c r="B6" s="19" t="s">
        <v>1</v>
      </c>
      <c r="C6" s="11" t="s">
        <v>522</v>
      </c>
      <c r="D6" s="11">
        <v>1</v>
      </c>
      <c r="E6" s="11">
        <v>1</v>
      </c>
      <c r="F6" s="11"/>
      <c r="G6" s="11"/>
      <c r="H6" s="11">
        <f t="shared" si="3"/>
        <v>2</v>
      </c>
      <c r="J6" s="14" t="s">
        <v>4</v>
      </c>
      <c r="K6" s="11">
        <f t="shared" si="0"/>
        <v>6</v>
      </c>
      <c r="L6" s="11">
        <f t="shared" si="1"/>
        <v>6</v>
      </c>
      <c r="M6" s="27">
        <f t="shared" si="4"/>
        <v>1</v>
      </c>
      <c r="N6" s="11">
        <v>55</v>
      </c>
      <c r="O6" s="35">
        <f t="shared" si="2"/>
        <v>1</v>
      </c>
    </row>
    <row r="7" spans="1:15" x14ac:dyDescent="0.3">
      <c r="A7" s="79"/>
      <c r="B7" s="19" t="s">
        <v>1</v>
      </c>
      <c r="C7" s="11" t="s">
        <v>535</v>
      </c>
      <c r="D7" s="11"/>
      <c r="E7" s="11">
        <v>1</v>
      </c>
      <c r="F7" s="11"/>
      <c r="G7" s="11"/>
      <c r="H7" s="11">
        <f t="shared" si="3"/>
        <v>1</v>
      </c>
      <c r="J7" s="17" t="s">
        <v>5</v>
      </c>
      <c r="K7" s="11">
        <f t="shared" si="0"/>
        <v>1</v>
      </c>
      <c r="L7" s="11">
        <f t="shared" si="1"/>
        <v>1</v>
      </c>
      <c r="M7" s="27">
        <f t="shared" si="4"/>
        <v>0.16666666666666666</v>
      </c>
      <c r="N7" s="11">
        <v>30</v>
      </c>
      <c r="O7" s="35">
        <f t="shared" si="2"/>
        <v>0.35606060606060602</v>
      </c>
    </row>
    <row r="8" spans="1:15" x14ac:dyDescent="0.3">
      <c r="A8" s="85" t="s">
        <v>2</v>
      </c>
      <c r="B8" s="37" t="s">
        <v>2</v>
      </c>
      <c r="C8" s="11" t="s">
        <v>519</v>
      </c>
      <c r="D8" s="11">
        <v>1</v>
      </c>
      <c r="E8" s="11"/>
      <c r="F8" s="11"/>
      <c r="G8" s="11"/>
      <c r="H8" s="11">
        <f t="shared" si="3"/>
        <v>1</v>
      </c>
      <c r="J8" s="14" t="s">
        <v>6</v>
      </c>
      <c r="K8" s="11">
        <f t="shared" si="0"/>
        <v>3</v>
      </c>
      <c r="L8" s="11">
        <f t="shared" si="1"/>
        <v>3</v>
      </c>
      <c r="M8" s="27">
        <f t="shared" si="4"/>
        <v>0.5</v>
      </c>
      <c r="N8" s="11">
        <v>28</v>
      </c>
      <c r="O8" s="35">
        <f t="shared" si="2"/>
        <v>0.50454545454545452</v>
      </c>
    </row>
    <row r="9" spans="1:15" x14ac:dyDescent="0.3">
      <c r="A9" s="85"/>
      <c r="B9" s="37" t="s">
        <v>2</v>
      </c>
      <c r="C9" s="11" t="s">
        <v>527</v>
      </c>
      <c r="D9" s="11">
        <v>1</v>
      </c>
      <c r="E9" s="11"/>
      <c r="F9" s="11"/>
      <c r="G9" s="11"/>
      <c r="H9" s="11">
        <f t="shared" si="3"/>
        <v>1</v>
      </c>
      <c r="J9" s="14" t="s">
        <v>7</v>
      </c>
      <c r="K9" s="11">
        <f t="shared" si="0"/>
        <v>2</v>
      </c>
      <c r="L9" s="11">
        <f t="shared" si="1"/>
        <v>2</v>
      </c>
      <c r="M9" s="27">
        <f t="shared" si="4"/>
        <v>0.33333333333333331</v>
      </c>
      <c r="N9" s="11">
        <v>21</v>
      </c>
      <c r="O9" s="35">
        <f t="shared" si="2"/>
        <v>0.35757575757575755</v>
      </c>
    </row>
    <row r="10" spans="1:15" x14ac:dyDescent="0.3">
      <c r="A10" s="85"/>
      <c r="B10" s="37" t="s">
        <v>2</v>
      </c>
      <c r="C10" s="11" t="s">
        <v>531</v>
      </c>
      <c r="D10" s="11"/>
      <c r="E10" s="11">
        <v>1</v>
      </c>
      <c r="F10" s="11"/>
      <c r="G10" s="11"/>
      <c r="H10" s="11">
        <f t="shared" si="3"/>
        <v>1</v>
      </c>
      <c r="J10" s="14" t="s">
        <v>8</v>
      </c>
      <c r="K10" s="11">
        <f t="shared" si="0"/>
        <v>2</v>
      </c>
      <c r="L10" s="11">
        <f t="shared" si="1"/>
        <v>1</v>
      </c>
      <c r="M10" s="27">
        <f t="shared" si="4"/>
        <v>0.21666666666666665</v>
      </c>
      <c r="N10" s="11">
        <v>20</v>
      </c>
      <c r="O10" s="35">
        <f t="shared" si="2"/>
        <v>0.29015151515151516</v>
      </c>
    </row>
    <row r="11" spans="1:15" x14ac:dyDescent="0.3">
      <c r="A11" s="43" t="s">
        <v>3</v>
      </c>
      <c r="B11" s="38" t="s">
        <v>3</v>
      </c>
      <c r="C11" s="11" t="s">
        <v>524</v>
      </c>
      <c r="D11" s="11">
        <v>1</v>
      </c>
      <c r="E11" s="11"/>
      <c r="F11" s="11"/>
      <c r="G11" s="11"/>
      <c r="H11" s="11">
        <f t="shared" si="3"/>
        <v>1</v>
      </c>
      <c r="J11" s="17" t="s">
        <v>9</v>
      </c>
      <c r="K11" s="11">
        <f t="shared" si="0"/>
        <v>1</v>
      </c>
      <c r="L11" s="11">
        <f t="shared" si="1"/>
        <v>1</v>
      </c>
      <c r="M11" s="27">
        <f t="shared" si="4"/>
        <v>0.16666666666666666</v>
      </c>
      <c r="N11" s="11">
        <v>5</v>
      </c>
      <c r="O11" s="35">
        <f t="shared" si="2"/>
        <v>0.12878787878787878</v>
      </c>
    </row>
    <row r="12" spans="1:15" x14ac:dyDescent="0.3">
      <c r="A12" s="77" t="s">
        <v>4</v>
      </c>
      <c r="B12" s="37" t="s">
        <v>4</v>
      </c>
      <c r="C12" s="11" t="s">
        <v>520</v>
      </c>
      <c r="D12" s="11">
        <v>1</v>
      </c>
      <c r="E12" s="11"/>
      <c r="F12" s="11"/>
      <c r="G12" s="11"/>
      <c r="H12" s="11">
        <f t="shared" si="3"/>
        <v>1</v>
      </c>
      <c r="J12" s="14" t="s">
        <v>10</v>
      </c>
      <c r="K12" s="11">
        <f t="shared" si="0"/>
        <v>0</v>
      </c>
      <c r="L12" s="11">
        <f t="shared" si="1"/>
        <v>0</v>
      </c>
      <c r="M12" s="27">
        <f t="shared" si="4"/>
        <v>0</v>
      </c>
      <c r="N12" s="11">
        <v>11</v>
      </c>
      <c r="O12" s="35">
        <f t="shared" si="2"/>
        <v>0.1</v>
      </c>
    </row>
    <row r="13" spans="1:15" x14ac:dyDescent="0.3">
      <c r="A13" s="78"/>
      <c r="B13" s="37" t="s">
        <v>4</v>
      </c>
      <c r="C13" s="11" t="s">
        <v>525</v>
      </c>
      <c r="D13" s="11">
        <v>1</v>
      </c>
      <c r="E13" s="11"/>
      <c r="F13" s="11"/>
      <c r="G13" s="11"/>
      <c r="H13" s="11">
        <f t="shared" si="3"/>
        <v>1</v>
      </c>
      <c r="J13" s="15" t="s">
        <v>11</v>
      </c>
      <c r="K13" s="11">
        <f t="shared" si="0"/>
        <v>0</v>
      </c>
      <c r="L13" s="11">
        <f t="shared" si="1"/>
        <v>0</v>
      </c>
      <c r="M13" s="27">
        <f t="shared" si="4"/>
        <v>0</v>
      </c>
      <c r="N13" s="11">
        <v>14</v>
      </c>
      <c r="O13" s="35">
        <f t="shared" si="2"/>
        <v>0.12727272727272726</v>
      </c>
    </row>
    <row r="14" spans="1:15" x14ac:dyDescent="0.3">
      <c r="A14" s="78"/>
      <c r="B14" s="37" t="s">
        <v>4</v>
      </c>
      <c r="C14" s="11" t="s">
        <v>534</v>
      </c>
      <c r="D14" s="11"/>
      <c r="E14" s="11">
        <v>1</v>
      </c>
      <c r="F14" s="11"/>
      <c r="G14" s="11"/>
      <c r="H14" s="11">
        <f t="shared" si="3"/>
        <v>1</v>
      </c>
      <c r="J14" s="17" t="s">
        <v>12</v>
      </c>
      <c r="K14" s="11">
        <f t="shared" si="0"/>
        <v>0</v>
      </c>
      <c r="L14" s="11">
        <f t="shared" si="1"/>
        <v>0</v>
      </c>
      <c r="M14" s="27">
        <f t="shared" si="4"/>
        <v>0</v>
      </c>
      <c r="N14" s="11">
        <v>4</v>
      </c>
      <c r="O14" s="35">
        <f t="shared" si="2"/>
        <v>3.6363636363636362E-2</v>
      </c>
    </row>
    <row r="15" spans="1:15" x14ac:dyDescent="0.3">
      <c r="A15" s="78"/>
      <c r="B15" s="37" t="s">
        <v>4</v>
      </c>
      <c r="C15" s="11" t="s">
        <v>539</v>
      </c>
      <c r="D15" s="11"/>
      <c r="E15" s="11">
        <v>1</v>
      </c>
      <c r="F15" s="11"/>
      <c r="G15" s="11"/>
      <c r="H15" s="11">
        <f t="shared" si="3"/>
        <v>1</v>
      </c>
      <c r="J15" s="15" t="s">
        <v>13</v>
      </c>
      <c r="K15" s="11">
        <f t="shared" si="0"/>
        <v>4</v>
      </c>
      <c r="L15" s="11">
        <f t="shared" si="1"/>
        <v>2</v>
      </c>
      <c r="M15" s="27">
        <f t="shared" si="4"/>
        <v>0.43333333333333329</v>
      </c>
      <c r="N15" s="11">
        <v>45</v>
      </c>
      <c r="O15" s="35">
        <f t="shared" si="2"/>
        <v>0.62575757575757573</v>
      </c>
    </row>
    <row r="16" spans="1:15" x14ac:dyDescent="0.3">
      <c r="A16" s="78"/>
      <c r="B16" s="37" t="s">
        <v>4</v>
      </c>
      <c r="C16" s="11" t="s">
        <v>546</v>
      </c>
      <c r="D16" s="11"/>
      <c r="E16" s="11"/>
      <c r="F16" s="11">
        <v>1</v>
      </c>
      <c r="G16" s="11"/>
      <c r="H16" s="11">
        <f t="shared" si="3"/>
        <v>1</v>
      </c>
      <c r="J16" s="15" t="s">
        <v>14</v>
      </c>
      <c r="K16" s="11">
        <f t="shared" si="0"/>
        <v>3</v>
      </c>
      <c r="L16" s="11">
        <f t="shared" si="1"/>
        <v>3</v>
      </c>
      <c r="M16" s="27">
        <f t="shared" si="4"/>
        <v>0.5</v>
      </c>
      <c r="N16" s="11">
        <v>11</v>
      </c>
      <c r="O16" s="35">
        <f t="shared" si="2"/>
        <v>0.35</v>
      </c>
    </row>
    <row r="17" spans="1:15" x14ac:dyDescent="0.3">
      <c r="A17" s="79"/>
      <c r="B17" s="37" t="s">
        <v>4</v>
      </c>
      <c r="C17" s="11" t="s">
        <v>550</v>
      </c>
      <c r="D17" s="11"/>
      <c r="E17" s="11"/>
      <c r="G17" s="11">
        <v>1</v>
      </c>
      <c r="H17" s="11">
        <f t="shared" si="3"/>
        <v>1</v>
      </c>
      <c r="J17" s="17" t="s">
        <v>15</v>
      </c>
      <c r="K17" s="11">
        <f t="shared" si="0"/>
        <v>3</v>
      </c>
      <c r="L17" s="11">
        <f t="shared" si="1"/>
        <v>2</v>
      </c>
      <c r="M17" s="27">
        <f t="shared" si="4"/>
        <v>0.3833333333333333</v>
      </c>
      <c r="N17" s="11">
        <v>37</v>
      </c>
      <c r="O17" s="35">
        <f t="shared" si="2"/>
        <v>0.52803030303030307</v>
      </c>
    </row>
    <row r="18" spans="1:15" x14ac:dyDescent="0.3">
      <c r="A18" s="43" t="s">
        <v>5</v>
      </c>
      <c r="B18" s="38" t="s">
        <v>5</v>
      </c>
      <c r="C18" s="11" t="s">
        <v>530</v>
      </c>
      <c r="D18" s="11">
        <v>1</v>
      </c>
      <c r="E18" s="11"/>
      <c r="F18" s="11"/>
      <c r="G18" s="11"/>
      <c r="H18" s="11">
        <f t="shared" si="3"/>
        <v>1</v>
      </c>
      <c r="J18" s="15" t="s">
        <v>16</v>
      </c>
      <c r="K18" s="11">
        <f t="shared" si="0"/>
        <v>0</v>
      </c>
      <c r="L18" s="11">
        <f t="shared" si="1"/>
        <v>0</v>
      </c>
      <c r="M18" s="27">
        <f t="shared" si="4"/>
        <v>0</v>
      </c>
      <c r="N18" s="11">
        <v>11</v>
      </c>
      <c r="O18" s="35">
        <f t="shared" si="2"/>
        <v>0.1</v>
      </c>
    </row>
    <row r="19" spans="1:15" x14ac:dyDescent="0.3">
      <c r="A19" s="77" t="s">
        <v>6</v>
      </c>
      <c r="B19" s="19" t="s">
        <v>6</v>
      </c>
      <c r="C19" s="11" t="s">
        <v>521</v>
      </c>
      <c r="D19" s="11">
        <v>1</v>
      </c>
      <c r="E19" s="11"/>
      <c r="F19" s="11"/>
      <c r="G19" s="11"/>
      <c r="H19" s="11">
        <f t="shared" si="3"/>
        <v>1</v>
      </c>
      <c r="J19" s="15" t="s">
        <v>17</v>
      </c>
      <c r="K19" s="11">
        <f t="shared" si="0"/>
        <v>1</v>
      </c>
      <c r="L19" s="11">
        <f t="shared" si="1"/>
        <v>1</v>
      </c>
      <c r="M19" s="27">
        <f t="shared" si="4"/>
        <v>0.16666666666666666</v>
      </c>
      <c r="N19" s="11">
        <v>7</v>
      </c>
      <c r="O19" s="35">
        <f t="shared" si="2"/>
        <v>0.14696969696969697</v>
      </c>
    </row>
    <row r="20" spans="1:15" x14ac:dyDescent="0.3">
      <c r="A20" s="78"/>
      <c r="B20" s="19" t="s">
        <v>6</v>
      </c>
      <c r="C20" s="11" t="s">
        <v>528</v>
      </c>
      <c r="D20" s="11">
        <v>1</v>
      </c>
      <c r="E20" s="11"/>
      <c r="F20" s="11"/>
      <c r="G20" s="11"/>
      <c r="H20" s="11">
        <f t="shared" si="3"/>
        <v>1</v>
      </c>
      <c r="J20" s="17" t="s">
        <v>18</v>
      </c>
      <c r="K20" s="11">
        <f t="shared" si="0"/>
        <v>1</v>
      </c>
      <c r="L20" s="11">
        <f t="shared" si="1"/>
        <v>1</v>
      </c>
      <c r="M20" s="27">
        <f t="shared" si="4"/>
        <v>0.16666666666666666</v>
      </c>
      <c r="N20" s="11">
        <v>9</v>
      </c>
      <c r="O20" s="35">
        <f t="shared" si="2"/>
        <v>0.16515151515151516</v>
      </c>
    </row>
    <row r="21" spans="1:15" x14ac:dyDescent="0.3">
      <c r="A21" s="79"/>
      <c r="B21" s="19" t="s">
        <v>6</v>
      </c>
      <c r="C21" s="11" t="s">
        <v>537</v>
      </c>
      <c r="D21" s="11"/>
      <c r="E21" s="11">
        <v>1</v>
      </c>
      <c r="F21" s="11"/>
      <c r="G21" s="11"/>
      <c r="H21" s="11">
        <f t="shared" si="3"/>
        <v>1</v>
      </c>
      <c r="J21" s="17" t="s">
        <v>19</v>
      </c>
      <c r="K21" s="11">
        <f t="shared" si="0"/>
        <v>2</v>
      </c>
      <c r="L21" s="11">
        <f t="shared" si="1"/>
        <v>2</v>
      </c>
      <c r="M21" s="27">
        <f t="shared" si="4"/>
        <v>0.33333333333333331</v>
      </c>
      <c r="N21" s="11">
        <v>6</v>
      </c>
      <c r="O21" s="35">
        <f t="shared" si="2"/>
        <v>0.22121212121212119</v>
      </c>
    </row>
    <row r="22" spans="1:15" x14ac:dyDescent="0.3">
      <c r="A22" s="77" t="s">
        <v>7</v>
      </c>
      <c r="B22" s="19" t="s">
        <v>7</v>
      </c>
      <c r="C22" s="11" t="s">
        <v>544</v>
      </c>
      <c r="D22" s="11"/>
      <c r="E22" s="11">
        <v>1</v>
      </c>
      <c r="F22" s="11"/>
      <c r="G22" s="11"/>
      <c r="H22" s="11">
        <f t="shared" si="3"/>
        <v>1</v>
      </c>
      <c r="J22" s="17" t="s">
        <v>20</v>
      </c>
      <c r="K22" s="11">
        <f t="shared" si="0"/>
        <v>0</v>
      </c>
      <c r="L22" s="11">
        <f t="shared" si="1"/>
        <v>0</v>
      </c>
      <c r="M22" s="27">
        <f t="shared" si="4"/>
        <v>0</v>
      </c>
      <c r="N22" s="11">
        <v>6</v>
      </c>
      <c r="O22" s="35">
        <f t="shared" si="2"/>
        <v>5.4545454545454543E-2</v>
      </c>
    </row>
    <row r="23" spans="1:15" x14ac:dyDescent="0.3">
      <c r="A23" s="79"/>
      <c r="B23" s="19" t="s">
        <v>7</v>
      </c>
      <c r="C23" s="11" t="s">
        <v>553</v>
      </c>
      <c r="D23" s="11"/>
      <c r="E23" s="11"/>
      <c r="F23" s="11"/>
      <c r="G23" s="11">
        <v>1</v>
      </c>
      <c r="H23" s="11">
        <f t="shared" si="3"/>
        <v>1</v>
      </c>
      <c r="J23" s="15" t="s">
        <v>21</v>
      </c>
      <c r="K23" s="11">
        <f t="shared" si="0"/>
        <v>0</v>
      </c>
      <c r="L23" s="11">
        <f t="shared" si="1"/>
        <v>0</v>
      </c>
      <c r="M23" s="27">
        <f t="shared" si="4"/>
        <v>0</v>
      </c>
      <c r="N23" s="11">
        <v>7</v>
      </c>
      <c r="O23" s="35">
        <f t="shared" si="2"/>
        <v>6.363636363636363E-2</v>
      </c>
    </row>
    <row r="24" spans="1:15" x14ac:dyDescent="0.3">
      <c r="A24" s="47" t="s">
        <v>8</v>
      </c>
      <c r="B24" s="19" t="s">
        <v>8</v>
      </c>
      <c r="C24" s="11" t="s">
        <v>518</v>
      </c>
      <c r="D24" s="11">
        <v>1</v>
      </c>
      <c r="E24" s="11">
        <v>1</v>
      </c>
      <c r="F24" s="11"/>
      <c r="G24" s="11"/>
      <c r="H24" s="11">
        <f t="shared" si="3"/>
        <v>2</v>
      </c>
      <c r="J24" s="15" t="s">
        <v>22</v>
      </c>
      <c r="K24" s="11">
        <f t="shared" si="0"/>
        <v>0</v>
      </c>
      <c r="L24" s="11">
        <f t="shared" si="1"/>
        <v>0</v>
      </c>
      <c r="M24" s="27">
        <f t="shared" si="4"/>
        <v>0</v>
      </c>
      <c r="N24" s="11">
        <v>1</v>
      </c>
      <c r="O24" s="35">
        <f t="shared" si="2"/>
        <v>9.0909090909090905E-3</v>
      </c>
    </row>
    <row r="25" spans="1:15" x14ac:dyDescent="0.3">
      <c r="A25" s="43" t="s">
        <v>9</v>
      </c>
      <c r="B25" s="38" t="s">
        <v>9</v>
      </c>
      <c r="C25" s="11" t="s">
        <v>526</v>
      </c>
      <c r="D25" s="11">
        <v>1</v>
      </c>
      <c r="E25" s="11"/>
      <c r="F25" s="11"/>
      <c r="G25" s="11"/>
      <c r="H25" s="11">
        <f t="shared" si="3"/>
        <v>1</v>
      </c>
      <c r="J25" s="15" t="s">
        <v>23</v>
      </c>
      <c r="K25" s="11">
        <f t="shared" si="0"/>
        <v>0</v>
      </c>
      <c r="L25" s="11">
        <f t="shared" si="1"/>
        <v>0</v>
      </c>
      <c r="M25" s="27">
        <f t="shared" si="4"/>
        <v>0</v>
      </c>
      <c r="N25" s="11">
        <v>3</v>
      </c>
      <c r="O25" s="35">
        <f t="shared" si="2"/>
        <v>2.7272727272727271E-2</v>
      </c>
    </row>
    <row r="26" spans="1:15" x14ac:dyDescent="0.3">
      <c r="A26" s="47" t="s">
        <v>10</v>
      </c>
      <c r="B26" s="19"/>
      <c r="C26" s="11"/>
      <c r="D26" s="11"/>
      <c r="E26" s="11"/>
      <c r="F26" s="11"/>
      <c r="G26" s="11"/>
      <c r="H26" s="11">
        <f t="shared" si="3"/>
        <v>0</v>
      </c>
      <c r="J26" s="15" t="s">
        <v>24</v>
      </c>
      <c r="K26" s="11">
        <f t="shared" si="0"/>
        <v>0</v>
      </c>
      <c r="L26" s="11">
        <f t="shared" si="1"/>
        <v>0</v>
      </c>
      <c r="M26" s="27">
        <f t="shared" si="4"/>
        <v>0</v>
      </c>
      <c r="N26" s="11">
        <v>3</v>
      </c>
      <c r="O26" s="35">
        <f t="shared" si="2"/>
        <v>2.7272727272727271E-2</v>
      </c>
    </row>
    <row r="27" spans="1:15" x14ac:dyDescent="0.3">
      <c r="A27" s="45" t="s">
        <v>11</v>
      </c>
      <c r="B27" s="39"/>
      <c r="C27" s="11"/>
      <c r="D27" s="11"/>
      <c r="E27" s="11"/>
      <c r="F27" s="11"/>
      <c r="G27" s="11"/>
      <c r="H27" s="11">
        <f t="shared" si="3"/>
        <v>0</v>
      </c>
      <c r="J27" s="17" t="s">
        <v>25</v>
      </c>
      <c r="K27" s="11">
        <f t="shared" si="0"/>
        <v>0</v>
      </c>
      <c r="L27" s="11">
        <f t="shared" si="1"/>
        <v>0</v>
      </c>
      <c r="M27" s="27">
        <f t="shared" si="4"/>
        <v>0</v>
      </c>
      <c r="N27" s="11">
        <v>8</v>
      </c>
      <c r="O27" s="35">
        <f t="shared" si="2"/>
        <v>7.2727272727272724E-2</v>
      </c>
    </row>
    <row r="28" spans="1:15" x14ac:dyDescent="0.3">
      <c r="A28" s="43" t="s">
        <v>12</v>
      </c>
      <c r="B28" s="38"/>
      <c r="C28" s="11"/>
      <c r="D28" s="11"/>
      <c r="E28" s="11"/>
      <c r="F28" s="11"/>
      <c r="G28" s="11"/>
      <c r="H28" s="11">
        <f t="shared" si="3"/>
        <v>0</v>
      </c>
      <c r="J28" s="17" t="s">
        <v>26</v>
      </c>
      <c r="K28" s="11">
        <f t="shared" si="0"/>
        <v>0</v>
      </c>
      <c r="L28" s="11">
        <f t="shared" si="1"/>
        <v>0</v>
      </c>
      <c r="M28" s="27">
        <f t="shared" si="4"/>
        <v>0</v>
      </c>
      <c r="N28" s="11">
        <v>8</v>
      </c>
      <c r="O28" s="35">
        <f t="shared" si="2"/>
        <v>7.2727272727272724E-2</v>
      </c>
    </row>
    <row r="29" spans="1:15" x14ac:dyDescent="0.3">
      <c r="A29" s="86" t="s">
        <v>13</v>
      </c>
      <c r="B29" s="40" t="s">
        <v>13</v>
      </c>
      <c r="C29" s="11" t="s">
        <v>516</v>
      </c>
      <c r="D29" s="11">
        <v>1</v>
      </c>
      <c r="E29" s="11">
        <v>1</v>
      </c>
      <c r="F29" s="11"/>
      <c r="G29" s="11">
        <v>1</v>
      </c>
      <c r="H29" s="11">
        <f t="shared" si="3"/>
        <v>3</v>
      </c>
      <c r="J29" s="15" t="s">
        <v>27</v>
      </c>
      <c r="K29" s="11">
        <f t="shared" si="0"/>
        <v>1</v>
      </c>
      <c r="L29" s="11">
        <f t="shared" si="1"/>
        <v>1</v>
      </c>
      <c r="M29" s="27">
        <f t="shared" si="4"/>
        <v>0.16666666666666666</v>
      </c>
      <c r="N29" s="11">
        <v>14</v>
      </c>
      <c r="O29" s="35">
        <f t="shared" si="2"/>
        <v>0.21060606060606057</v>
      </c>
    </row>
    <row r="30" spans="1:15" x14ac:dyDescent="0.3">
      <c r="A30" s="86"/>
      <c r="B30" s="40" t="s">
        <v>13</v>
      </c>
      <c r="C30" s="39" t="s">
        <v>529</v>
      </c>
      <c r="D30" s="11">
        <v>1</v>
      </c>
      <c r="E30" s="11"/>
      <c r="F30" s="11"/>
      <c r="G30" s="11"/>
      <c r="H30" s="11">
        <f t="shared" si="3"/>
        <v>1</v>
      </c>
      <c r="J30" s="15" t="s">
        <v>28</v>
      </c>
      <c r="K30" s="11">
        <f t="shared" si="0"/>
        <v>0</v>
      </c>
      <c r="L30" s="11">
        <f t="shared" si="1"/>
        <v>0</v>
      </c>
      <c r="M30" s="27">
        <f t="shared" si="4"/>
        <v>0</v>
      </c>
      <c r="N30" s="11">
        <v>7</v>
      </c>
      <c r="O30" s="35">
        <f t="shared" si="2"/>
        <v>6.363636363636363E-2</v>
      </c>
    </row>
    <row r="31" spans="1:15" x14ac:dyDescent="0.3">
      <c r="A31" s="80" t="s">
        <v>14</v>
      </c>
      <c r="B31" s="39" t="s">
        <v>14</v>
      </c>
      <c r="C31" s="11" t="s">
        <v>533</v>
      </c>
      <c r="D31" s="11"/>
      <c r="E31" s="11">
        <v>1</v>
      </c>
      <c r="F31" s="11"/>
      <c r="G31" s="11"/>
      <c r="H31" s="11">
        <f t="shared" si="3"/>
        <v>1</v>
      </c>
      <c r="J31" s="17" t="s">
        <v>29</v>
      </c>
      <c r="K31" s="11">
        <f t="shared" si="0"/>
        <v>0</v>
      </c>
      <c r="L31" s="11">
        <f t="shared" si="1"/>
        <v>0</v>
      </c>
      <c r="M31" s="27">
        <f t="shared" si="4"/>
        <v>0</v>
      </c>
      <c r="N31" s="11">
        <v>1</v>
      </c>
      <c r="O31" s="35">
        <f t="shared" si="2"/>
        <v>9.0909090909090905E-3</v>
      </c>
    </row>
    <row r="32" spans="1:15" x14ac:dyDescent="0.3">
      <c r="A32" s="81"/>
      <c r="B32" s="39" t="s">
        <v>14</v>
      </c>
      <c r="C32" s="11" t="s">
        <v>538</v>
      </c>
      <c r="D32" s="11"/>
      <c r="E32" s="11">
        <v>1</v>
      </c>
      <c r="F32" s="11"/>
      <c r="G32" s="11"/>
      <c r="H32" s="11">
        <f t="shared" si="3"/>
        <v>1</v>
      </c>
      <c r="J32" s="15" t="s">
        <v>30</v>
      </c>
      <c r="K32" s="11">
        <f t="shared" si="0"/>
        <v>1</v>
      </c>
      <c r="L32" s="11">
        <f t="shared" si="1"/>
        <v>1</v>
      </c>
      <c r="M32" s="27">
        <f t="shared" si="4"/>
        <v>0.16666666666666666</v>
      </c>
      <c r="N32" s="11">
        <v>9</v>
      </c>
      <c r="O32" s="35">
        <f t="shared" si="2"/>
        <v>0.16515151515151516</v>
      </c>
    </row>
    <row r="33" spans="1:15" x14ac:dyDescent="0.3">
      <c r="A33" s="82"/>
      <c r="B33" s="39" t="s">
        <v>14</v>
      </c>
      <c r="C33" s="11" t="s">
        <v>543</v>
      </c>
      <c r="D33" s="11"/>
      <c r="E33" s="11">
        <v>1</v>
      </c>
      <c r="F33" s="11"/>
      <c r="G33" s="11"/>
      <c r="H33" s="11">
        <f t="shared" si="3"/>
        <v>1</v>
      </c>
      <c r="J33" s="15" t="s">
        <v>31</v>
      </c>
      <c r="K33" s="11">
        <f t="shared" si="0"/>
        <v>1</v>
      </c>
      <c r="L33" s="11">
        <f t="shared" si="1"/>
        <v>1</v>
      </c>
      <c r="M33" s="27">
        <f t="shared" si="4"/>
        <v>0.16666666666666666</v>
      </c>
      <c r="N33" s="11">
        <v>5</v>
      </c>
      <c r="O33" s="35">
        <f t="shared" si="2"/>
        <v>0.12878787878787878</v>
      </c>
    </row>
    <row r="34" spans="1:15" x14ac:dyDescent="0.3">
      <c r="A34" s="83" t="s">
        <v>15</v>
      </c>
      <c r="B34" s="38" t="s">
        <v>15</v>
      </c>
      <c r="C34" s="11" t="s">
        <v>515</v>
      </c>
      <c r="D34" s="11">
        <v>1</v>
      </c>
      <c r="E34" s="11">
        <v>1</v>
      </c>
      <c r="F34" s="11"/>
      <c r="G34" s="11"/>
      <c r="H34" s="11">
        <f t="shared" si="3"/>
        <v>2</v>
      </c>
      <c r="J34" s="17" t="s">
        <v>32</v>
      </c>
      <c r="K34" s="11">
        <f t="shared" ref="K34:K65" si="5">SUMIF(B:B, J34, H:H)</f>
        <v>1</v>
      </c>
      <c r="L34" s="11">
        <f t="shared" ref="L34:L61" si="6">COUNTIF(B:B, J34)</f>
        <v>1</v>
      </c>
      <c r="M34" s="27">
        <f t="shared" si="4"/>
        <v>0.16666666666666666</v>
      </c>
      <c r="N34" s="11">
        <v>16</v>
      </c>
      <c r="O34" s="35">
        <f t="shared" ref="O34:O65" si="7">(0.5*M34) + (0.5*(N34/MAX(N:N)))</f>
        <v>0.22878787878787876</v>
      </c>
    </row>
    <row r="35" spans="1:15" x14ac:dyDescent="0.3">
      <c r="A35" s="84"/>
      <c r="B35" s="38" t="s">
        <v>15</v>
      </c>
      <c r="C35" s="11" t="s">
        <v>547</v>
      </c>
      <c r="D35" s="11"/>
      <c r="E35" s="11"/>
      <c r="F35" s="11">
        <v>1</v>
      </c>
      <c r="G35" s="11"/>
      <c r="H35" s="11">
        <f t="shared" si="3"/>
        <v>1</v>
      </c>
      <c r="J35" s="17" t="s">
        <v>33</v>
      </c>
      <c r="K35" s="11">
        <f t="shared" si="5"/>
        <v>0</v>
      </c>
      <c r="L35" s="11">
        <f t="shared" si="6"/>
        <v>0</v>
      </c>
      <c r="M35" s="27">
        <f t="shared" si="4"/>
        <v>0</v>
      </c>
      <c r="N35" s="11">
        <v>7</v>
      </c>
      <c r="O35" s="35">
        <f t="shared" si="7"/>
        <v>6.363636363636363E-2</v>
      </c>
    </row>
    <row r="36" spans="1:15" x14ac:dyDescent="0.3">
      <c r="A36" s="40" t="s">
        <v>16</v>
      </c>
      <c r="B36" s="40"/>
      <c r="C36" s="11"/>
      <c r="D36" s="11"/>
      <c r="E36" s="11"/>
      <c r="F36" s="11"/>
      <c r="G36" s="11"/>
      <c r="H36" s="11">
        <f t="shared" si="3"/>
        <v>0</v>
      </c>
      <c r="J36" s="17" t="s">
        <v>34</v>
      </c>
      <c r="K36" s="11">
        <f t="shared" si="5"/>
        <v>3</v>
      </c>
      <c r="L36" s="11">
        <f t="shared" si="6"/>
        <v>1</v>
      </c>
      <c r="M36" s="27">
        <f t="shared" si="4"/>
        <v>0.26666666666666666</v>
      </c>
      <c r="N36" s="11">
        <v>5</v>
      </c>
      <c r="O36" s="35">
        <f t="shared" si="7"/>
        <v>0.17878787878787877</v>
      </c>
    </row>
    <row r="37" spans="1:15" x14ac:dyDescent="0.3">
      <c r="A37" s="45" t="s">
        <v>17</v>
      </c>
      <c r="B37" s="39" t="s">
        <v>17</v>
      </c>
      <c r="C37" s="11" t="s">
        <v>545</v>
      </c>
      <c r="D37" s="11"/>
      <c r="E37" s="11">
        <v>1</v>
      </c>
      <c r="F37" s="11"/>
      <c r="G37" s="11"/>
      <c r="H37" s="11">
        <f t="shared" si="3"/>
        <v>1</v>
      </c>
      <c r="J37" s="15" t="s">
        <v>35</v>
      </c>
      <c r="K37" s="11">
        <f t="shared" si="5"/>
        <v>0</v>
      </c>
      <c r="L37" s="11">
        <f t="shared" si="6"/>
        <v>0</v>
      </c>
      <c r="M37" s="27">
        <f t="shared" si="4"/>
        <v>0</v>
      </c>
      <c r="N37" s="11">
        <v>7</v>
      </c>
      <c r="O37" s="35">
        <f t="shared" si="7"/>
        <v>6.363636363636363E-2</v>
      </c>
    </row>
    <row r="38" spans="1:15" x14ac:dyDescent="0.3">
      <c r="A38" s="43" t="s">
        <v>18</v>
      </c>
      <c r="B38" s="38" t="s">
        <v>18</v>
      </c>
      <c r="C38" s="11" t="s">
        <v>540</v>
      </c>
      <c r="D38" s="11"/>
      <c r="E38" s="11">
        <v>1</v>
      </c>
      <c r="F38" s="11"/>
      <c r="G38" s="11"/>
      <c r="H38" s="11">
        <f t="shared" si="3"/>
        <v>1</v>
      </c>
      <c r="J38" s="15" t="s">
        <v>36</v>
      </c>
      <c r="K38" s="11">
        <f t="shared" si="5"/>
        <v>1</v>
      </c>
      <c r="L38" s="11">
        <f t="shared" si="6"/>
        <v>1</v>
      </c>
      <c r="M38" s="27">
        <f t="shared" si="4"/>
        <v>0.16666666666666666</v>
      </c>
      <c r="N38" s="11">
        <v>2</v>
      </c>
      <c r="O38" s="35">
        <f t="shared" si="7"/>
        <v>0.1015151515151515</v>
      </c>
    </row>
    <row r="39" spans="1:15" x14ac:dyDescent="0.3">
      <c r="A39" s="83" t="s">
        <v>19</v>
      </c>
      <c r="B39" s="38" t="s">
        <v>19</v>
      </c>
      <c r="C39" s="11" t="s">
        <v>555</v>
      </c>
      <c r="D39" s="11">
        <v>1</v>
      </c>
      <c r="E39" s="11"/>
      <c r="F39" s="11"/>
      <c r="G39" s="11"/>
      <c r="H39" s="11">
        <f t="shared" si="3"/>
        <v>1</v>
      </c>
      <c r="J39" s="17" t="s">
        <v>37</v>
      </c>
      <c r="K39" s="11">
        <f t="shared" si="5"/>
        <v>0</v>
      </c>
      <c r="L39" s="11">
        <f t="shared" si="6"/>
        <v>0</v>
      </c>
      <c r="M39" s="27">
        <f t="shared" si="4"/>
        <v>0</v>
      </c>
      <c r="N39" s="11">
        <v>3</v>
      </c>
      <c r="O39" s="35">
        <f t="shared" si="7"/>
        <v>2.7272727272727271E-2</v>
      </c>
    </row>
    <row r="40" spans="1:15" x14ac:dyDescent="0.3">
      <c r="A40" s="84"/>
      <c r="B40" s="38" t="s">
        <v>19</v>
      </c>
      <c r="C40" s="11" t="s">
        <v>554</v>
      </c>
      <c r="D40" s="11"/>
      <c r="E40" s="11"/>
      <c r="F40" s="11"/>
      <c r="G40" s="11">
        <v>1</v>
      </c>
      <c r="H40" s="11">
        <f t="shared" si="3"/>
        <v>1</v>
      </c>
      <c r="J40" s="15" t="s">
        <v>38</v>
      </c>
      <c r="K40" s="11">
        <f t="shared" si="5"/>
        <v>0</v>
      </c>
      <c r="L40" s="11">
        <f t="shared" si="6"/>
        <v>0</v>
      </c>
      <c r="M40" s="27">
        <f t="shared" si="4"/>
        <v>0</v>
      </c>
      <c r="N40" s="11">
        <v>1</v>
      </c>
      <c r="O40" s="35">
        <f t="shared" si="7"/>
        <v>9.0909090909090905E-3</v>
      </c>
    </row>
    <row r="41" spans="1:15" x14ac:dyDescent="0.3">
      <c r="A41" s="43" t="s">
        <v>20</v>
      </c>
      <c r="B41" s="38"/>
      <c r="C41" s="11"/>
      <c r="D41" s="11"/>
      <c r="E41" s="11"/>
      <c r="F41" s="11"/>
      <c r="G41" s="11"/>
      <c r="H41" s="11">
        <f t="shared" si="3"/>
        <v>0</v>
      </c>
      <c r="J41" s="15" t="s">
        <v>39</v>
      </c>
      <c r="K41" s="11">
        <f t="shared" si="5"/>
        <v>0</v>
      </c>
      <c r="L41" s="11">
        <f t="shared" si="6"/>
        <v>0</v>
      </c>
      <c r="M41" s="27">
        <f t="shared" si="4"/>
        <v>0</v>
      </c>
      <c r="N41" s="11">
        <v>6</v>
      </c>
      <c r="O41" s="35">
        <f t="shared" si="7"/>
        <v>5.4545454545454543E-2</v>
      </c>
    </row>
    <row r="42" spans="1:15" x14ac:dyDescent="0.3">
      <c r="A42" s="45" t="s">
        <v>21</v>
      </c>
      <c r="B42" s="39"/>
      <c r="C42" s="11"/>
      <c r="D42" s="11"/>
      <c r="E42" s="11"/>
      <c r="F42" s="11"/>
      <c r="G42" s="11"/>
      <c r="H42" s="11">
        <f t="shared" si="3"/>
        <v>0</v>
      </c>
      <c r="J42" s="17" t="s">
        <v>40</v>
      </c>
      <c r="K42" s="11">
        <f t="shared" si="5"/>
        <v>1</v>
      </c>
      <c r="L42" s="11">
        <f t="shared" si="6"/>
        <v>1</v>
      </c>
      <c r="M42" s="27">
        <f t="shared" si="4"/>
        <v>0.16666666666666666</v>
      </c>
      <c r="N42" s="11">
        <v>3</v>
      </c>
      <c r="O42" s="35">
        <f t="shared" si="7"/>
        <v>0.1106060606060606</v>
      </c>
    </row>
    <row r="43" spans="1:15" x14ac:dyDescent="0.3">
      <c r="A43" s="45" t="s">
        <v>22</v>
      </c>
      <c r="B43" s="39"/>
      <c r="C43" s="11"/>
      <c r="D43" s="11"/>
      <c r="E43" s="11"/>
      <c r="F43" s="11"/>
      <c r="G43" s="11"/>
      <c r="H43" s="11">
        <f t="shared" si="3"/>
        <v>0</v>
      </c>
      <c r="J43" s="17" t="s">
        <v>41</v>
      </c>
      <c r="K43" s="11">
        <f t="shared" si="5"/>
        <v>0</v>
      </c>
      <c r="L43" s="11">
        <f t="shared" si="6"/>
        <v>0</v>
      </c>
      <c r="M43" s="27">
        <f t="shared" si="4"/>
        <v>0</v>
      </c>
      <c r="N43" s="11">
        <v>1</v>
      </c>
      <c r="O43" s="35">
        <f t="shared" si="7"/>
        <v>9.0909090909090905E-3</v>
      </c>
    </row>
    <row r="44" spans="1:15" x14ac:dyDescent="0.3">
      <c r="A44" s="45" t="s">
        <v>23</v>
      </c>
      <c r="B44" s="39"/>
      <c r="C44" s="11"/>
      <c r="D44" s="11"/>
      <c r="E44" s="11"/>
      <c r="F44" s="11"/>
      <c r="G44" s="11"/>
      <c r="H44" s="11">
        <f t="shared" si="3"/>
        <v>0</v>
      </c>
      <c r="J44" s="17" t="s">
        <v>42</v>
      </c>
      <c r="K44" s="11">
        <f t="shared" si="5"/>
        <v>0</v>
      </c>
      <c r="L44" s="11">
        <f t="shared" si="6"/>
        <v>0</v>
      </c>
      <c r="M44" s="27">
        <f t="shared" si="4"/>
        <v>0</v>
      </c>
      <c r="N44" s="11">
        <v>3</v>
      </c>
      <c r="O44" s="35">
        <f t="shared" si="7"/>
        <v>2.7272727272727271E-2</v>
      </c>
    </row>
    <row r="45" spans="1:15" x14ac:dyDescent="0.3">
      <c r="A45" s="45" t="s">
        <v>24</v>
      </c>
      <c r="B45" s="39"/>
      <c r="C45" s="11"/>
      <c r="D45" s="11"/>
      <c r="E45" s="11"/>
      <c r="F45" s="11"/>
      <c r="G45" s="11"/>
      <c r="H45" s="11">
        <f t="shared" si="3"/>
        <v>0</v>
      </c>
      <c r="J45" s="17" t="s">
        <v>43</v>
      </c>
      <c r="K45" s="11">
        <f t="shared" si="5"/>
        <v>1</v>
      </c>
      <c r="L45" s="11">
        <f t="shared" si="6"/>
        <v>1</v>
      </c>
      <c r="M45" s="27">
        <f t="shared" si="4"/>
        <v>0.16666666666666666</v>
      </c>
      <c r="N45" s="11">
        <v>6</v>
      </c>
      <c r="O45" s="35">
        <f t="shared" si="7"/>
        <v>0.13787878787878788</v>
      </c>
    </row>
    <row r="46" spans="1:15" x14ac:dyDescent="0.3">
      <c r="A46" s="43" t="s">
        <v>25</v>
      </c>
      <c r="B46" s="38"/>
      <c r="C46" s="11"/>
      <c r="D46" s="11"/>
      <c r="E46" s="11"/>
      <c r="F46" s="11"/>
      <c r="G46" s="11"/>
      <c r="H46" s="11">
        <f t="shared" si="3"/>
        <v>0</v>
      </c>
      <c r="J46" s="15" t="s">
        <v>44</v>
      </c>
      <c r="K46" s="11">
        <f t="shared" si="5"/>
        <v>0</v>
      </c>
      <c r="L46" s="11">
        <f t="shared" si="6"/>
        <v>0</v>
      </c>
      <c r="M46" s="27">
        <f t="shared" si="4"/>
        <v>0</v>
      </c>
      <c r="N46" s="11">
        <v>3</v>
      </c>
      <c r="O46" s="35">
        <f t="shared" si="7"/>
        <v>2.7272727272727271E-2</v>
      </c>
    </row>
    <row r="47" spans="1:15" x14ac:dyDescent="0.3">
      <c r="A47" s="43" t="s">
        <v>26</v>
      </c>
      <c r="B47" s="38"/>
      <c r="C47" s="11"/>
      <c r="D47" s="11"/>
      <c r="E47" s="11"/>
      <c r="F47" s="11"/>
      <c r="G47" s="11"/>
      <c r="H47" s="11">
        <f t="shared" si="3"/>
        <v>0</v>
      </c>
      <c r="J47" s="17" t="s">
        <v>45</v>
      </c>
      <c r="K47" s="11">
        <f t="shared" si="5"/>
        <v>0</v>
      </c>
      <c r="L47" s="11">
        <f t="shared" si="6"/>
        <v>0</v>
      </c>
      <c r="M47" s="27">
        <f t="shared" si="4"/>
        <v>0</v>
      </c>
      <c r="N47" s="11">
        <v>1</v>
      </c>
      <c r="O47" s="35">
        <f t="shared" si="7"/>
        <v>9.0909090909090905E-3</v>
      </c>
    </row>
    <row r="48" spans="1:15" x14ac:dyDescent="0.3">
      <c r="A48" s="45" t="s">
        <v>27</v>
      </c>
      <c r="B48" s="39" t="s">
        <v>27</v>
      </c>
      <c r="C48" s="11" t="s">
        <v>536</v>
      </c>
      <c r="D48" s="11"/>
      <c r="E48" s="11">
        <v>1</v>
      </c>
      <c r="F48" s="11"/>
      <c r="G48" s="11"/>
      <c r="H48" s="11">
        <f t="shared" si="3"/>
        <v>1</v>
      </c>
      <c r="J48" s="15" t="s">
        <v>46</v>
      </c>
      <c r="K48" s="11">
        <f t="shared" si="5"/>
        <v>0</v>
      </c>
      <c r="L48" s="11">
        <f t="shared" si="6"/>
        <v>0</v>
      </c>
      <c r="M48" s="27">
        <f t="shared" si="4"/>
        <v>0</v>
      </c>
      <c r="N48" s="11">
        <v>1</v>
      </c>
      <c r="O48" s="35">
        <f t="shared" si="7"/>
        <v>9.0909090909090905E-3</v>
      </c>
    </row>
    <row r="49" spans="1:15" x14ac:dyDescent="0.3">
      <c r="A49" s="45" t="s">
        <v>28</v>
      </c>
      <c r="B49" s="39"/>
      <c r="C49" s="11"/>
      <c r="D49" s="11"/>
      <c r="E49" s="11"/>
      <c r="F49" s="11"/>
      <c r="G49" s="11"/>
      <c r="H49" s="11">
        <f t="shared" si="3"/>
        <v>0</v>
      </c>
      <c r="J49" s="15" t="s">
        <v>47</v>
      </c>
      <c r="K49" s="11">
        <f t="shared" si="5"/>
        <v>0</v>
      </c>
      <c r="L49" s="11">
        <f t="shared" si="6"/>
        <v>0</v>
      </c>
      <c r="M49" s="27">
        <f t="shared" si="4"/>
        <v>0</v>
      </c>
      <c r="N49" s="11">
        <v>6</v>
      </c>
      <c r="O49" s="35">
        <f t="shared" si="7"/>
        <v>5.4545454545454543E-2</v>
      </c>
    </row>
    <row r="50" spans="1:15" x14ac:dyDescent="0.3">
      <c r="A50" s="43" t="s">
        <v>29</v>
      </c>
      <c r="B50" s="38"/>
      <c r="C50" s="11"/>
      <c r="D50" s="11"/>
      <c r="E50" s="11"/>
      <c r="F50" s="11"/>
      <c r="G50" s="11"/>
      <c r="H50" s="11">
        <f t="shared" si="3"/>
        <v>0</v>
      </c>
      <c r="J50" s="15" t="s">
        <v>48</v>
      </c>
      <c r="K50" s="11">
        <f t="shared" si="5"/>
        <v>0</v>
      </c>
      <c r="L50" s="11">
        <f t="shared" si="6"/>
        <v>0</v>
      </c>
      <c r="M50" s="27">
        <f t="shared" si="4"/>
        <v>0</v>
      </c>
      <c r="N50" s="11">
        <v>15</v>
      </c>
      <c r="O50" s="35">
        <f t="shared" si="7"/>
        <v>0.13636363636363635</v>
      </c>
    </row>
    <row r="51" spans="1:15" x14ac:dyDescent="0.3">
      <c r="A51" s="45" t="s">
        <v>30</v>
      </c>
      <c r="B51" s="39" t="s">
        <v>30</v>
      </c>
      <c r="C51" s="11" t="s">
        <v>513</v>
      </c>
      <c r="D51" s="11">
        <v>1</v>
      </c>
      <c r="E51" s="11"/>
      <c r="F51" s="11"/>
      <c r="G51" s="11"/>
      <c r="H51" s="11">
        <f t="shared" si="3"/>
        <v>1</v>
      </c>
      <c r="J51" s="15" t="s">
        <v>49</v>
      </c>
      <c r="K51" s="11">
        <f t="shared" si="5"/>
        <v>1</v>
      </c>
      <c r="L51" s="11">
        <f t="shared" si="6"/>
        <v>1</v>
      </c>
      <c r="M51" s="27">
        <f t="shared" si="4"/>
        <v>0.16666666666666666</v>
      </c>
      <c r="N51" s="11">
        <v>3</v>
      </c>
      <c r="O51" s="35">
        <f t="shared" si="7"/>
        <v>0.1106060606060606</v>
      </c>
    </row>
    <row r="52" spans="1:15" x14ac:dyDescent="0.3">
      <c r="A52" s="45" t="s">
        <v>31</v>
      </c>
      <c r="B52" s="39" t="s">
        <v>31</v>
      </c>
      <c r="C52" s="11" t="s">
        <v>548</v>
      </c>
      <c r="D52" s="11"/>
      <c r="E52" s="11"/>
      <c r="F52" s="11">
        <v>1</v>
      </c>
      <c r="G52" s="11"/>
      <c r="H52" s="11">
        <f t="shared" si="3"/>
        <v>1</v>
      </c>
      <c r="J52" s="15" t="s">
        <v>50</v>
      </c>
      <c r="K52" s="11">
        <f t="shared" si="5"/>
        <v>0</v>
      </c>
      <c r="L52" s="11">
        <f t="shared" si="6"/>
        <v>0</v>
      </c>
      <c r="M52" s="27">
        <f t="shared" si="4"/>
        <v>0</v>
      </c>
      <c r="N52" s="11">
        <v>16</v>
      </c>
      <c r="O52" s="35">
        <f t="shared" si="7"/>
        <v>0.14545454545454545</v>
      </c>
    </row>
    <row r="53" spans="1:15" x14ac:dyDescent="0.3">
      <c r="A53" s="43" t="s">
        <v>32</v>
      </c>
      <c r="B53" s="38" t="s">
        <v>32</v>
      </c>
      <c r="C53" s="11" t="s">
        <v>523</v>
      </c>
      <c r="D53" s="11">
        <v>1</v>
      </c>
      <c r="E53" s="11"/>
      <c r="F53" s="11"/>
      <c r="G53" s="11"/>
      <c r="H53" s="11">
        <f t="shared" si="3"/>
        <v>1</v>
      </c>
      <c r="J53" s="17" t="s">
        <v>51</v>
      </c>
      <c r="K53" s="11">
        <f t="shared" si="5"/>
        <v>0</v>
      </c>
      <c r="L53" s="11">
        <f t="shared" si="6"/>
        <v>0</v>
      </c>
      <c r="M53" s="27">
        <f t="shared" si="4"/>
        <v>0</v>
      </c>
      <c r="N53" s="11">
        <v>0</v>
      </c>
      <c r="O53" s="35">
        <f t="shared" si="7"/>
        <v>0</v>
      </c>
    </row>
    <row r="54" spans="1:15" x14ac:dyDescent="0.3">
      <c r="A54" s="43" t="s">
        <v>33</v>
      </c>
      <c r="B54" s="38"/>
      <c r="C54" s="11"/>
      <c r="D54" s="11"/>
      <c r="E54" s="11"/>
      <c r="F54" s="11"/>
      <c r="G54" s="11"/>
      <c r="H54" s="11">
        <f t="shared" si="3"/>
        <v>0</v>
      </c>
      <c r="J54" s="17" t="s">
        <v>52</v>
      </c>
      <c r="K54" s="11">
        <f t="shared" si="5"/>
        <v>0</v>
      </c>
      <c r="L54" s="11">
        <f t="shared" si="6"/>
        <v>0</v>
      </c>
      <c r="M54" s="27">
        <f t="shared" si="4"/>
        <v>0</v>
      </c>
      <c r="N54" s="11">
        <v>4</v>
      </c>
      <c r="O54" s="35">
        <f t="shared" si="7"/>
        <v>3.6363636363636362E-2</v>
      </c>
    </row>
    <row r="55" spans="1:15" x14ac:dyDescent="0.3">
      <c r="A55" s="43" t="s">
        <v>34</v>
      </c>
      <c r="B55" s="38" t="s">
        <v>34</v>
      </c>
      <c r="C55" s="38" t="s">
        <v>511</v>
      </c>
      <c r="D55" s="11">
        <v>1</v>
      </c>
      <c r="E55" s="11">
        <v>1</v>
      </c>
      <c r="G55" s="11">
        <v>1</v>
      </c>
      <c r="H55" s="11">
        <f t="shared" si="3"/>
        <v>3</v>
      </c>
      <c r="J55" s="15" t="s">
        <v>53</v>
      </c>
      <c r="K55" s="11">
        <f t="shared" si="5"/>
        <v>0</v>
      </c>
      <c r="L55" s="11">
        <f t="shared" si="6"/>
        <v>0</v>
      </c>
      <c r="M55" s="27">
        <f t="shared" si="4"/>
        <v>0</v>
      </c>
      <c r="N55" s="11">
        <v>3</v>
      </c>
      <c r="O55" s="35">
        <f t="shared" si="7"/>
        <v>2.7272727272727271E-2</v>
      </c>
    </row>
    <row r="56" spans="1:15" x14ac:dyDescent="0.3">
      <c r="A56" s="40" t="s">
        <v>35</v>
      </c>
      <c r="B56" s="40"/>
      <c r="C56" s="11"/>
      <c r="D56" s="11"/>
      <c r="E56" s="11"/>
      <c r="F56" s="11"/>
      <c r="G56" s="11"/>
      <c r="H56" s="11">
        <f t="shared" si="3"/>
        <v>0</v>
      </c>
      <c r="J56" s="17" t="s">
        <v>54</v>
      </c>
      <c r="K56" s="11">
        <f t="shared" si="5"/>
        <v>3</v>
      </c>
      <c r="L56" s="11">
        <f t="shared" si="6"/>
        <v>1</v>
      </c>
      <c r="M56" s="27">
        <f t="shared" si="4"/>
        <v>0.26666666666666666</v>
      </c>
      <c r="N56" s="11">
        <v>11</v>
      </c>
      <c r="O56" s="35">
        <f t="shared" si="7"/>
        <v>0.23333333333333334</v>
      </c>
    </row>
    <row r="57" spans="1:15" x14ac:dyDescent="0.3">
      <c r="A57" s="40" t="s">
        <v>36</v>
      </c>
      <c r="B57" s="40" t="s">
        <v>36</v>
      </c>
      <c r="C57" s="11" t="s">
        <v>542</v>
      </c>
      <c r="D57" s="11"/>
      <c r="E57" s="11">
        <v>1</v>
      </c>
      <c r="F57" s="11"/>
      <c r="G57" s="11"/>
      <c r="H57" s="11">
        <f t="shared" si="3"/>
        <v>1</v>
      </c>
      <c r="J57" s="17" t="s">
        <v>55</v>
      </c>
      <c r="K57" s="11">
        <f t="shared" si="5"/>
        <v>0</v>
      </c>
      <c r="L57" s="11">
        <f t="shared" si="6"/>
        <v>0</v>
      </c>
      <c r="M57" s="27">
        <f t="shared" si="4"/>
        <v>0</v>
      </c>
      <c r="N57" s="11">
        <v>4</v>
      </c>
      <c r="O57" s="35">
        <f t="shared" si="7"/>
        <v>3.6363636363636362E-2</v>
      </c>
    </row>
    <row r="58" spans="1:15" x14ac:dyDescent="0.3">
      <c r="A58" s="43" t="s">
        <v>37</v>
      </c>
      <c r="B58" s="38"/>
      <c r="C58" s="11"/>
      <c r="D58" s="11"/>
      <c r="E58" s="11"/>
      <c r="F58" s="11"/>
      <c r="G58" s="11"/>
      <c r="H58" s="11">
        <f t="shared" si="3"/>
        <v>0</v>
      </c>
      <c r="J58" s="15" t="s">
        <v>56</v>
      </c>
      <c r="K58" s="11">
        <f t="shared" si="5"/>
        <v>0</v>
      </c>
      <c r="L58" s="11">
        <f t="shared" si="6"/>
        <v>0</v>
      </c>
      <c r="M58" s="27">
        <f t="shared" si="4"/>
        <v>0</v>
      </c>
      <c r="N58" s="11">
        <v>2</v>
      </c>
      <c r="O58" s="35">
        <f t="shared" si="7"/>
        <v>1.8181818181818181E-2</v>
      </c>
    </row>
    <row r="59" spans="1:15" x14ac:dyDescent="0.3">
      <c r="A59" s="45" t="s">
        <v>38</v>
      </c>
      <c r="B59" s="39"/>
      <c r="C59" s="11"/>
      <c r="D59" s="11"/>
      <c r="E59" s="11"/>
      <c r="F59" s="11"/>
      <c r="G59" s="11"/>
      <c r="H59" s="11">
        <f t="shared" si="3"/>
        <v>0</v>
      </c>
      <c r="J59" s="15" t="s">
        <v>57</v>
      </c>
      <c r="K59" s="11">
        <f t="shared" si="5"/>
        <v>0</v>
      </c>
      <c r="L59" s="11">
        <f t="shared" si="6"/>
        <v>0</v>
      </c>
      <c r="M59" s="27">
        <f t="shared" si="4"/>
        <v>0</v>
      </c>
      <c r="N59" s="11">
        <v>0</v>
      </c>
      <c r="O59" s="35">
        <f t="shared" si="7"/>
        <v>0</v>
      </c>
    </row>
    <row r="60" spans="1:15" x14ac:dyDescent="0.3">
      <c r="A60" s="40" t="s">
        <v>39</v>
      </c>
      <c r="B60" s="40"/>
      <c r="C60" s="11"/>
      <c r="D60" s="11"/>
      <c r="E60" s="11"/>
      <c r="F60" s="11"/>
      <c r="G60" s="11"/>
      <c r="H60" s="11">
        <f t="shared" si="3"/>
        <v>0</v>
      </c>
      <c r="J60" s="15" t="s">
        <v>58</v>
      </c>
      <c r="K60" s="11">
        <f t="shared" si="5"/>
        <v>0</v>
      </c>
      <c r="L60" s="11">
        <f t="shared" si="6"/>
        <v>0</v>
      </c>
      <c r="M60" s="27">
        <f t="shared" si="4"/>
        <v>0</v>
      </c>
      <c r="N60" s="11">
        <v>3</v>
      </c>
      <c r="O60" s="35">
        <f t="shared" si="7"/>
        <v>2.7272727272727271E-2</v>
      </c>
    </row>
    <row r="61" spans="1:15" x14ac:dyDescent="0.3">
      <c r="A61" s="43" t="s">
        <v>40</v>
      </c>
      <c r="B61" s="38" t="s">
        <v>40</v>
      </c>
      <c r="C61" s="11" t="s">
        <v>551</v>
      </c>
      <c r="D61" s="11"/>
      <c r="E61" s="11"/>
      <c r="G61" s="11">
        <v>1</v>
      </c>
      <c r="H61" s="11">
        <f t="shared" ref="H61:H80" si="8">SUM(D61:G61)</f>
        <v>1</v>
      </c>
      <c r="J61" s="15" t="s">
        <v>59</v>
      </c>
      <c r="K61" s="11">
        <f t="shared" si="5"/>
        <v>0</v>
      </c>
      <c r="L61" s="11">
        <f t="shared" si="6"/>
        <v>0</v>
      </c>
      <c r="M61" s="27">
        <f t="shared" si="4"/>
        <v>0</v>
      </c>
      <c r="N61" s="11">
        <v>8</v>
      </c>
      <c r="O61" s="35">
        <f t="shared" si="7"/>
        <v>7.2727272727272724E-2</v>
      </c>
    </row>
    <row r="62" spans="1:15" x14ac:dyDescent="0.3">
      <c r="A62" s="52" t="s">
        <v>41</v>
      </c>
      <c r="B62" s="41"/>
      <c r="C62" s="11"/>
      <c r="D62" s="11"/>
      <c r="E62" s="11"/>
      <c r="F62" s="11"/>
      <c r="G62" s="11"/>
      <c r="H62" s="11">
        <f t="shared" si="8"/>
        <v>0</v>
      </c>
      <c r="J62" s="8"/>
    </row>
    <row r="63" spans="1:15" x14ac:dyDescent="0.3">
      <c r="A63" s="43" t="s">
        <v>42</v>
      </c>
      <c r="B63" s="38"/>
      <c r="C63" s="11"/>
      <c r="D63" s="11"/>
      <c r="E63" s="11"/>
      <c r="F63" s="11"/>
      <c r="G63" s="11"/>
      <c r="H63" s="11">
        <f t="shared" si="8"/>
        <v>0</v>
      </c>
    </row>
    <row r="64" spans="1:15" x14ac:dyDescent="0.3">
      <c r="A64" s="43" t="s">
        <v>43</v>
      </c>
      <c r="B64" s="38" t="s">
        <v>43</v>
      </c>
      <c r="C64" s="11" t="s">
        <v>552</v>
      </c>
      <c r="D64" s="11"/>
      <c r="E64" s="11"/>
      <c r="G64" s="11">
        <v>1</v>
      </c>
      <c r="H64" s="11">
        <f t="shared" si="8"/>
        <v>1</v>
      </c>
    </row>
    <row r="65" spans="1:8" x14ac:dyDescent="0.3">
      <c r="A65" s="46" t="s">
        <v>44</v>
      </c>
      <c r="B65" s="40"/>
      <c r="C65" s="11"/>
      <c r="D65" s="11"/>
      <c r="E65" s="11"/>
      <c r="F65" s="11"/>
      <c r="G65" s="11"/>
      <c r="H65" s="11">
        <f t="shared" si="8"/>
        <v>0</v>
      </c>
    </row>
    <row r="66" spans="1:8" x14ac:dyDescent="0.3">
      <c r="A66" s="43" t="s">
        <v>45</v>
      </c>
      <c r="B66" s="38"/>
      <c r="C66" s="11"/>
      <c r="D66" s="11"/>
      <c r="E66" s="11"/>
      <c r="F66" s="11"/>
      <c r="G66" s="11"/>
      <c r="H66" s="11">
        <f t="shared" si="8"/>
        <v>0</v>
      </c>
    </row>
    <row r="67" spans="1:8" x14ac:dyDescent="0.3">
      <c r="A67" s="45" t="s">
        <v>46</v>
      </c>
      <c r="B67" s="39"/>
      <c r="C67" s="11"/>
      <c r="D67" s="11"/>
      <c r="E67" s="11"/>
      <c r="F67" s="11"/>
      <c r="G67" s="11"/>
      <c r="H67" s="11">
        <f t="shared" si="8"/>
        <v>0</v>
      </c>
    </row>
    <row r="68" spans="1:8" x14ac:dyDescent="0.3">
      <c r="A68" s="45" t="s">
        <v>47</v>
      </c>
      <c r="B68" s="39"/>
      <c r="C68" s="11"/>
      <c r="D68" s="11"/>
      <c r="E68" s="11"/>
      <c r="F68" s="11"/>
      <c r="G68" s="11"/>
      <c r="H68" s="11">
        <f t="shared" si="8"/>
        <v>0</v>
      </c>
    </row>
    <row r="69" spans="1:8" x14ac:dyDescent="0.3">
      <c r="A69" s="45" t="s">
        <v>48</v>
      </c>
      <c r="B69" s="39"/>
      <c r="C69" s="11"/>
      <c r="D69" s="11"/>
      <c r="E69" s="11"/>
      <c r="F69" s="11"/>
      <c r="G69" s="11"/>
      <c r="H69" s="11">
        <f t="shared" si="8"/>
        <v>0</v>
      </c>
    </row>
    <row r="70" spans="1:8" x14ac:dyDescent="0.3">
      <c r="A70" s="45" t="s">
        <v>49</v>
      </c>
      <c r="B70" s="39" t="s">
        <v>49</v>
      </c>
      <c r="C70" s="11" t="s">
        <v>549</v>
      </c>
      <c r="D70" s="11"/>
      <c r="E70" s="11"/>
      <c r="F70" s="11">
        <v>1</v>
      </c>
      <c r="G70" s="11"/>
      <c r="H70" s="11">
        <f t="shared" si="8"/>
        <v>1</v>
      </c>
    </row>
    <row r="71" spans="1:8" x14ac:dyDescent="0.3">
      <c r="A71" s="45" t="s">
        <v>50</v>
      </c>
      <c r="B71" s="39"/>
      <c r="C71" s="11"/>
      <c r="D71" s="11"/>
      <c r="E71" s="11"/>
      <c r="F71" s="11"/>
      <c r="G71" s="11"/>
      <c r="H71" s="11">
        <f t="shared" si="8"/>
        <v>0</v>
      </c>
    </row>
    <row r="72" spans="1:8" x14ac:dyDescent="0.3">
      <c r="A72" s="43" t="s">
        <v>51</v>
      </c>
      <c r="B72" s="38"/>
      <c r="C72" s="11"/>
      <c r="D72" s="11"/>
      <c r="E72" s="11"/>
      <c r="F72" s="11"/>
      <c r="G72" s="11"/>
      <c r="H72" s="11">
        <f t="shared" si="8"/>
        <v>0</v>
      </c>
    </row>
    <row r="73" spans="1:8" x14ac:dyDescent="0.3">
      <c r="A73" s="43" t="s">
        <v>52</v>
      </c>
      <c r="B73" s="38"/>
      <c r="C73" s="11"/>
      <c r="D73" s="11"/>
      <c r="E73" s="11"/>
      <c r="F73" s="11"/>
      <c r="G73" s="11"/>
      <c r="H73" s="11">
        <f t="shared" si="8"/>
        <v>0</v>
      </c>
    </row>
    <row r="74" spans="1:8" x14ac:dyDescent="0.3">
      <c r="A74" s="45" t="s">
        <v>53</v>
      </c>
      <c r="B74" s="39"/>
      <c r="C74" s="11"/>
      <c r="D74" s="11"/>
      <c r="E74" s="11"/>
      <c r="F74" s="11"/>
      <c r="G74" s="11"/>
      <c r="H74" s="11">
        <f t="shared" si="8"/>
        <v>0</v>
      </c>
    </row>
    <row r="75" spans="1:8" x14ac:dyDescent="0.3">
      <c r="A75" s="42" t="s">
        <v>54</v>
      </c>
      <c r="B75" s="42" t="s">
        <v>54</v>
      </c>
      <c r="C75" s="11" t="s">
        <v>437</v>
      </c>
      <c r="D75" s="11">
        <v>1</v>
      </c>
      <c r="E75" s="11">
        <v>1</v>
      </c>
      <c r="G75" s="11">
        <v>1</v>
      </c>
      <c r="H75" s="11">
        <f t="shared" si="8"/>
        <v>3</v>
      </c>
    </row>
    <row r="76" spans="1:8" x14ac:dyDescent="0.3">
      <c r="A76" s="43" t="s">
        <v>55</v>
      </c>
      <c r="B76" s="38"/>
      <c r="C76" s="11"/>
      <c r="D76" s="11"/>
      <c r="E76" s="11"/>
      <c r="F76" s="11"/>
      <c r="G76" s="11"/>
      <c r="H76" s="11">
        <f t="shared" si="8"/>
        <v>0</v>
      </c>
    </row>
    <row r="77" spans="1:8" x14ac:dyDescent="0.3">
      <c r="A77" s="45" t="s">
        <v>56</v>
      </c>
      <c r="B77" s="39"/>
      <c r="C77" s="11"/>
      <c r="D77" s="11"/>
      <c r="E77" s="11"/>
      <c r="F77" s="11"/>
      <c r="G77" s="11"/>
      <c r="H77" s="11">
        <f t="shared" si="8"/>
        <v>0</v>
      </c>
    </row>
    <row r="78" spans="1:8" x14ac:dyDescent="0.3">
      <c r="A78" s="45" t="s">
        <v>57</v>
      </c>
      <c r="B78" s="39"/>
      <c r="C78" s="11"/>
      <c r="D78" s="11"/>
      <c r="E78" s="11"/>
      <c r="F78" s="11"/>
      <c r="G78" s="11"/>
      <c r="H78" s="11">
        <f t="shared" si="8"/>
        <v>0</v>
      </c>
    </row>
    <row r="79" spans="1:8" x14ac:dyDescent="0.3">
      <c r="A79" s="45" t="s">
        <v>58</v>
      </c>
      <c r="B79" s="39"/>
      <c r="C79" s="11"/>
      <c r="D79" s="11"/>
      <c r="E79" s="11"/>
      <c r="F79" s="11"/>
      <c r="G79" s="11"/>
      <c r="H79" s="11">
        <f t="shared" si="8"/>
        <v>0</v>
      </c>
    </row>
    <row r="80" spans="1:8" x14ac:dyDescent="0.3">
      <c r="A80" s="45" t="s">
        <v>59</v>
      </c>
      <c r="B80" s="39"/>
      <c r="C80" s="11"/>
      <c r="D80" s="11"/>
      <c r="E80" s="11"/>
      <c r="F80" s="11"/>
      <c r="G80" s="11"/>
      <c r="H80" s="11">
        <f t="shared" si="8"/>
        <v>0</v>
      </c>
    </row>
  </sheetData>
  <mergeCells count="10">
    <mergeCell ref="A2:A5"/>
    <mergeCell ref="A6:A7"/>
    <mergeCell ref="A12:A17"/>
    <mergeCell ref="A8:A10"/>
    <mergeCell ref="A29:A30"/>
    <mergeCell ref="A19:A21"/>
    <mergeCell ref="A22:A23"/>
    <mergeCell ref="A31:A33"/>
    <mergeCell ref="A34:A35"/>
    <mergeCell ref="A39:A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BBF3-6ABA-4DD0-86E4-5E9EDE77ED01}">
  <dimension ref="A1:AI61"/>
  <sheetViews>
    <sheetView topLeftCell="E23" zoomScaleNormal="100" workbookViewId="0">
      <selection activeCell="Q1" sqref="Q1:Q61"/>
    </sheetView>
  </sheetViews>
  <sheetFormatPr defaultRowHeight="14.4" x14ac:dyDescent="0.3"/>
  <cols>
    <col min="1" max="1" width="18.5546875" customWidth="1"/>
    <col min="2" max="2" width="17.109375" customWidth="1"/>
    <col min="3" max="3" width="9.5546875" customWidth="1"/>
    <col min="5" max="5" width="19.33203125" customWidth="1"/>
    <col min="6" max="6" width="9.6640625" customWidth="1"/>
    <col min="7" max="7" width="11.5546875" customWidth="1"/>
    <col min="8" max="8" width="17.109375" customWidth="1"/>
    <col min="9" max="9" width="9.6640625" customWidth="1"/>
    <col min="10" max="10" width="11.5546875" customWidth="1"/>
    <col min="11" max="11" width="11.44140625" customWidth="1"/>
    <col min="12" max="12" width="23" customWidth="1"/>
    <col min="13" max="13" width="13" customWidth="1"/>
    <col min="14" max="14" width="22.33203125" customWidth="1"/>
    <col min="15" max="15" width="8.33203125" customWidth="1"/>
    <col min="16" max="16" width="9.5546875" bestFit="1" customWidth="1"/>
    <col min="17" max="17" width="8.44140625" customWidth="1"/>
    <col min="23" max="23" width="12.109375" customWidth="1"/>
    <col min="24" max="24" width="7.77734375" customWidth="1"/>
    <col min="28" max="28" width="16" customWidth="1"/>
    <col min="29" max="29" width="14.21875" customWidth="1"/>
    <col min="30" max="30" width="12.88671875" customWidth="1"/>
    <col min="31" max="31" width="16.5546875" customWidth="1"/>
    <col min="32" max="32" width="12.77734375" customWidth="1"/>
    <col min="33" max="33" width="10.88671875" customWidth="1"/>
  </cols>
  <sheetData>
    <row r="1" spans="1:35" x14ac:dyDescent="0.3">
      <c r="A1" s="1" t="s">
        <v>67</v>
      </c>
      <c r="B1" s="1" t="s">
        <v>68</v>
      </c>
      <c r="C1" s="1" t="s">
        <v>340</v>
      </c>
      <c r="D1" s="1" t="s">
        <v>341</v>
      </c>
      <c r="E1" s="1" t="s">
        <v>69</v>
      </c>
      <c r="F1" s="1" t="s">
        <v>342</v>
      </c>
      <c r="G1" s="1" t="s">
        <v>351</v>
      </c>
      <c r="H1" s="1" t="s">
        <v>71</v>
      </c>
      <c r="I1" s="1" t="s">
        <v>343</v>
      </c>
      <c r="J1" s="1" t="s">
        <v>352</v>
      </c>
      <c r="K1" s="4" t="s">
        <v>349</v>
      </c>
      <c r="L1" s="1" t="s">
        <v>344</v>
      </c>
      <c r="M1" s="1" t="s">
        <v>350</v>
      </c>
      <c r="N1" s="1" t="s">
        <v>345</v>
      </c>
      <c r="O1" s="1" t="s">
        <v>346</v>
      </c>
      <c r="P1" s="1" t="s">
        <v>347</v>
      </c>
      <c r="Q1" s="1" t="s">
        <v>348</v>
      </c>
      <c r="W1" s="1" t="s">
        <v>220</v>
      </c>
      <c r="X1" s="1" t="s">
        <v>222</v>
      </c>
      <c r="AB1" s="10" t="s">
        <v>67</v>
      </c>
      <c r="AC1" s="10" t="s">
        <v>68</v>
      </c>
      <c r="AD1" s="10" t="s">
        <v>69</v>
      </c>
      <c r="AE1" s="10" t="s">
        <v>71</v>
      </c>
      <c r="AF1" s="10" t="s">
        <v>350</v>
      </c>
      <c r="AG1" s="4" t="s">
        <v>349</v>
      </c>
      <c r="AH1" s="23" t="s">
        <v>346</v>
      </c>
      <c r="AI1" s="1"/>
    </row>
    <row r="2" spans="1:35" x14ac:dyDescent="0.3">
      <c r="A2" s="5" t="s">
        <v>0</v>
      </c>
      <c r="B2" t="s">
        <v>169</v>
      </c>
      <c r="C2">
        <v>25.3</v>
      </c>
      <c r="D2">
        <v>5</v>
      </c>
      <c r="E2" t="s">
        <v>70</v>
      </c>
      <c r="F2">
        <v>22.2</v>
      </c>
      <c r="G2">
        <v>3</v>
      </c>
      <c r="H2" t="s">
        <v>72</v>
      </c>
      <c r="I2">
        <v>25.4</v>
      </c>
      <c r="J2">
        <v>5</v>
      </c>
      <c r="K2" s="2">
        <f t="shared" ref="K2:K11" si="0">AVERAGE(C2,F2,I2)</f>
        <v>24.3</v>
      </c>
      <c r="L2" s="2">
        <f t="shared" ref="L2:L33" si="1">(MAX(10, MIN(K2, 31)) - 10) / 21</f>
        <v>0.68095238095238098</v>
      </c>
      <c r="M2" s="2">
        <f t="shared" ref="M2:M23" si="2">AVERAGE(D2,G2,J2)</f>
        <v>4.333333333333333</v>
      </c>
      <c r="N2" s="2">
        <f t="shared" ref="N2:N33" si="3">M2/12</f>
        <v>0.3611111111111111</v>
      </c>
      <c r="O2" s="2">
        <f t="shared" ref="O2:O33" si="4">0.5*L2+0.5*N2</f>
        <v>0.52103174603174607</v>
      </c>
      <c r="P2" s="2">
        <v>0.42020202020202013</v>
      </c>
      <c r="Q2" s="2">
        <f t="shared" ref="Q2:Q33" si="5">0.5 * O2 + 0.5 * P2</f>
        <v>0.4706168831168831</v>
      </c>
      <c r="W2" t="s">
        <v>72</v>
      </c>
      <c r="X2">
        <f>ABS(24.6-25.3)</f>
        <v>0.69999999999999929</v>
      </c>
      <c r="AB2" s="14" t="s">
        <v>0</v>
      </c>
      <c r="AC2" s="11" t="s">
        <v>169</v>
      </c>
      <c r="AD2" s="11" t="s">
        <v>70</v>
      </c>
      <c r="AE2" s="11" t="s">
        <v>72</v>
      </c>
      <c r="AF2" s="28">
        <v>4.333333333333333</v>
      </c>
      <c r="AG2" s="28">
        <v>24.3</v>
      </c>
      <c r="AH2" s="27">
        <v>0.52103174603174607</v>
      </c>
    </row>
    <row r="3" spans="1:35" x14ac:dyDescent="0.3">
      <c r="A3" s="5" t="s">
        <v>1</v>
      </c>
      <c r="B3" t="s">
        <v>170</v>
      </c>
      <c r="C3">
        <v>22.7</v>
      </c>
      <c r="D3">
        <v>3</v>
      </c>
      <c r="E3" t="s">
        <v>73</v>
      </c>
      <c r="F3">
        <v>26.9</v>
      </c>
      <c r="G3">
        <v>5</v>
      </c>
      <c r="H3" t="s">
        <v>102</v>
      </c>
      <c r="I3">
        <v>24</v>
      </c>
      <c r="J3">
        <v>3</v>
      </c>
      <c r="K3" s="2">
        <f t="shared" si="0"/>
        <v>24.533333333333331</v>
      </c>
      <c r="L3" s="2">
        <f t="shared" si="1"/>
        <v>0.69206349206349194</v>
      </c>
      <c r="M3" s="2">
        <f t="shared" si="2"/>
        <v>3.6666666666666665</v>
      </c>
      <c r="N3" s="2">
        <f t="shared" si="3"/>
        <v>0.30555555555555552</v>
      </c>
      <c r="O3" s="2">
        <f t="shared" si="4"/>
        <v>0.4988095238095237</v>
      </c>
      <c r="P3" s="2">
        <v>0.5252525252525253</v>
      </c>
      <c r="Q3" s="2">
        <f t="shared" si="5"/>
        <v>0.51203102453102445</v>
      </c>
      <c r="W3" t="s">
        <v>171</v>
      </c>
      <c r="X3">
        <f>ABS(29.6-29.7)</f>
        <v>9.9999999999997868E-2</v>
      </c>
      <c r="AB3" s="14" t="s">
        <v>1</v>
      </c>
      <c r="AC3" s="11" t="s">
        <v>170</v>
      </c>
      <c r="AD3" s="11" t="s">
        <v>73</v>
      </c>
      <c r="AE3" s="11" t="s">
        <v>102</v>
      </c>
      <c r="AF3" s="28">
        <v>3.6666666666666665</v>
      </c>
      <c r="AG3" s="28">
        <v>24.533333333333331</v>
      </c>
      <c r="AH3" s="27">
        <v>0.4988095238095237</v>
      </c>
    </row>
    <row r="4" spans="1:35" x14ac:dyDescent="0.3">
      <c r="A4" s="5" t="s">
        <v>2</v>
      </c>
      <c r="B4" t="s">
        <v>171</v>
      </c>
      <c r="C4">
        <v>29.7</v>
      </c>
      <c r="D4">
        <v>8</v>
      </c>
      <c r="E4" t="s">
        <v>74</v>
      </c>
      <c r="F4">
        <v>28.1</v>
      </c>
      <c r="G4">
        <v>6</v>
      </c>
      <c r="H4" t="s">
        <v>103</v>
      </c>
      <c r="I4">
        <v>29.8</v>
      </c>
      <c r="J4">
        <v>8</v>
      </c>
      <c r="K4" s="2">
        <f t="shared" si="0"/>
        <v>29.2</v>
      </c>
      <c r="L4" s="2">
        <f t="shared" si="1"/>
        <v>0.91428571428571426</v>
      </c>
      <c r="M4" s="2">
        <f t="shared" si="2"/>
        <v>7.333333333333333</v>
      </c>
      <c r="N4" s="2">
        <f t="shared" si="3"/>
        <v>0.61111111111111105</v>
      </c>
      <c r="O4" s="2">
        <f t="shared" si="4"/>
        <v>0.76269841269841265</v>
      </c>
      <c r="P4" s="2">
        <v>0.63030303030303025</v>
      </c>
      <c r="Q4" s="2">
        <f t="shared" si="5"/>
        <v>0.69650072150072151</v>
      </c>
      <c r="W4" t="s">
        <v>81</v>
      </c>
      <c r="X4">
        <f>ABS(31.5-30.8)</f>
        <v>0.69999999999999929</v>
      </c>
      <c r="AB4" s="14" t="s">
        <v>2</v>
      </c>
      <c r="AC4" s="11" t="s">
        <v>171</v>
      </c>
      <c r="AD4" s="11" t="s">
        <v>74</v>
      </c>
      <c r="AE4" s="11" t="s">
        <v>103</v>
      </c>
      <c r="AF4" s="28">
        <v>7.333333333333333</v>
      </c>
      <c r="AG4" s="28">
        <v>29.2</v>
      </c>
      <c r="AH4" s="27">
        <v>0.76269841269841265</v>
      </c>
    </row>
    <row r="5" spans="1:35" x14ac:dyDescent="0.3">
      <c r="A5" s="6" t="s">
        <v>3</v>
      </c>
      <c r="B5" t="s">
        <v>172</v>
      </c>
      <c r="C5">
        <v>29.5</v>
      </c>
      <c r="D5">
        <v>8</v>
      </c>
      <c r="E5" t="s">
        <v>75</v>
      </c>
      <c r="F5">
        <v>29.5</v>
      </c>
      <c r="G5">
        <v>8</v>
      </c>
      <c r="H5" t="s">
        <v>104</v>
      </c>
      <c r="I5">
        <v>29.5</v>
      </c>
      <c r="J5">
        <v>8</v>
      </c>
      <c r="K5" s="2">
        <f t="shared" si="0"/>
        <v>29.5</v>
      </c>
      <c r="L5" s="2">
        <f t="shared" si="1"/>
        <v>0.9285714285714286</v>
      </c>
      <c r="M5" s="2">
        <f t="shared" si="2"/>
        <v>8</v>
      </c>
      <c r="N5" s="2">
        <f t="shared" si="3"/>
        <v>0.66666666666666663</v>
      </c>
      <c r="O5" s="2">
        <f t="shared" si="4"/>
        <v>0.79761904761904767</v>
      </c>
      <c r="P5" s="2">
        <v>0.21010101010101007</v>
      </c>
      <c r="Q5" s="2">
        <f t="shared" si="5"/>
        <v>0.5038600288600289</v>
      </c>
      <c r="W5" t="s">
        <v>106</v>
      </c>
      <c r="X5">
        <f>ABS(16.8-17.5)</f>
        <v>0.69999999999999929</v>
      </c>
      <c r="AB5" s="17" t="s">
        <v>3</v>
      </c>
      <c r="AC5" s="11" t="s">
        <v>172</v>
      </c>
      <c r="AD5" s="11" t="s">
        <v>75</v>
      </c>
      <c r="AE5" s="11" t="s">
        <v>104</v>
      </c>
      <c r="AF5" s="28">
        <v>8</v>
      </c>
      <c r="AG5" s="28">
        <v>29.5</v>
      </c>
      <c r="AH5" s="27">
        <v>0.79761904761904767</v>
      </c>
    </row>
    <row r="6" spans="1:35" x14ac:dyDescent="0.3">
      <c r="A6" s="5" t="s">
        <v>4</v>
      </c>
      <c r="B6" t="s">
        <v>173</v>
      </c>
      <c r="C6">
        <v>26</v>
      </c>
      <c r="D6">
        <v>4</v>
      </c>
      <c r="E6" t="s">
        <v>76</v>
      </c>
      <c r="F6">
        <v>26.4</v>
      </c>
      <c r="G6">
        <v>4</v>
      </c>
      <c r="H6" t="s">
        <v>130</v>
      </c>
      <c r="I6">
        <v>26.1</v>
      </c>
      <c r="J6">
        <v>4</v>
      </c>
      <c r="K6" s="2">
        <f t="shared" si="0"/>
        <v>26.166666666666668</v>
      </c>
      <c r="L6" s="2">
        <f t="shared" si="1"/>
        <v>0.76984126984126988</v>
      </c>
      <c r="M6" s="2">
        <f t="shared" si="2"/>
        <v>4</v>
      </c>
      <c r="N6" s="2">
        <f t="shared" si="3"/>
        <v>0.33333333333333331</v>
      </c>
      <c r="O6" s="2">
        <f t="shared" si="4"/>
        <v>0.55158730158730163</v>
      </c>
      <c r="P6" s="2">
        <v>0.65757575757575748</v>
      </c>
      <c r="Q6" s="2">
        <f t="shared" si="5"/>
        <v>0.60458152958152955</v>
      </c>
      <c r="W6" s="9" t="s">
        <v>124</v>
      </c>
      <c r="X6" s="9">
        <f>ABS(19.9-19.4)</f>
        <v>0.5</v>
      </c>
      <c r="AB6" s="14" t="s">
        <v>4</v>
      </c>
      <c r="AC6" s="11" t="s">
        <v>173</v>
      </c>
      <c r="AD6" s="11" t="s">
        <v>76</v>
      </c>
      <c r="AE6" s="11" t="s">
        <v>130</v>
      </c>
      <c r="AF6" s="28">
        <v>4</v>
      </c>
      <c r="AG6" s="28">
        <v>26.166666666666668</v>
      </c>
      <c r="AH6" s="27">
        <v>0.55158730158730163</v>
      </c>
    </row>
    <row r="7" spans="1:35" x14ac:dyDescent="0.3">
      <c r="A7" s="6" t="s">
        <v>5</v>
      </c>
      <c r="B7" s="3" t="s">
        <v>174</v>
      </c>
      <c r="C7">
        <v>31</v>
      </c>
      <c r="D7">
        <v>8</v>
      </c>
      <c r="E7" t="s">
        <v>77</v>
      </c>
      <c r="F7">
        <v>29.5</v>
      </c>
      <c r="G7">
        <v>12</v>
      </c>
      <c r="H7" t="s">
        <v>105</v>
      </c>
      <c r="I7">
        <v>29.6</v>
      </c>
      <c r="J7">
        <v>12</v>
      </c>
      <c r="K7" s="2">
        <f t="shared" si="0"/>
        <v>30.033333333333331</v>
      </c>
      <c r="L7" s="2">
        <f t="shared" si="1"/>
        <v>0.95396825396825391</v>
      </c>
      <c r="M7" s="2">
        <f t="shared" si="2"/>
        <v>10.666666666666666</v>
      </c>
      <c r="N7" s="2">
        <f t="shared" si="3"/>
        <v>0.88888888888888884</v>
      </c>
      <c r="O7" s="2">
        <f t="shared" si="4"/>
        <v>0.92142857142857137</v>
      </c>
      <c r="P7" s="2">
        <v>0.63030303030303025</v>
      </c>
      <c r="Q7" s="2">
        <f t="shared" si="5"/>
        <v>0.77586580086580081</v>
      </c>
      <c r="W7" s="1" t="s">
        <v>221</v>
      </c>
      <c r="X7">
        <f>SUM(X2:X6)/5</f>
        <v>0.53999999999999915</v>
      </c>
      <c r="AB7" s="17" t="s">
        <v>5</v>
      </c>
      <c r="AC7" s="25" t="s">
        <v>174</v>
      </c>
      <c r="AD7" s="11" t="s">
        <v>77</v>
      </c>
      <c r="AE7" s="11" t="s">
        <v>105</v>
      </c>
      <c r="AF7" s="28">
        <v>10.666666666666666</v>
      </c>
      <c r="AG7" s="28">
        <v>30.033333333333331</v>
      </c>
      <c r="AH7" s="27">
        <v>0.92142857142857137</v>
      </c>
    </row>
    <row r="8" spans="1:35" x14ac:dyDescent="0.3">
      <c r="A8" s="5" t="s">
        <v>6</v>
      </c>
      <c r="B8" t="s">
        <v>175</v>
      </c>
      <c r="C8">
        <v>15</v>
      </c>
      <c r="D8">
        <v>0</v>
      </c>
      <c r="E8" t="s">
        <v>78</v>
      </c>
      <c r="F8">
        <v>16.600000000000001</v>
      </c>
      <c r="G8">
        <v>0</v>
      </c>
      <c r="H8" t="s">
        <v>106</v>
      </c>
      <c r="I8">
        <v>17.5</v>
      </c>
      <c r="J8">
        <v>0</v>
      </c>
      <c r="K8" s="2">
        <f t="shared" si="0"/>
        <v>16.366666666666667</v>
      </c>
      <c r="L8" s="2">
        <f t="shared" si="1"/>
        <v>0.30317460317460321</v>
      </c>
      <c r="M8" s="2">
        <f t="shared" si="2"/>
        <v>0</v>
      </c>
      <c r="N8" s="2">
        <f t="shared" si="3"/>
        <v>0</v>
      </c>
      <c r="O8" s="2">
        <f t="shared" si="4"/>
        <v>0.1515873015873016</v>
      </c>
      <c r="P8" s="2">
        <v>0.21010101010101007</v>
      </c>
      <c r="Q8" s="2">
        <f t="shared" si="5"/>
        <v>0.18084415584415584</v>
      </c>
      <c r="AB8" s="14" t="s">
        <v>6</v>
      </c>
      <c r="AC8" s="11" t="s">
        <v>175</v>
      </c>
      <c r="AD8" s="11" t="s">
        <v>78</v>
      </c>
      <c r="AE8" s="11" t="s">
        <v>106</v>
      </c>
      <c r="AF8" s="28">
        <v>0</v>
      </c>
      <c r="AG8" s="28">
        <v>16.366666666666667</v>
      </c>
      <c r="AH8" s="27">
        <v>0.1515873015873016</v>
      </c>
    </row>
    <row r="9" spans="1:35" x14ac:dyDescent="0.3">
      <c r="A9" s="5" t="s">
        <v>7</v>
      </c>
      <c r="B9" t="s">
        <v>176</v>
      </c>
      <c r="C9">
        <v>29.5</v>
      </c>
      <c r="D9">
        <v>12</v>
      </c>
      <c r="E9" t="s">
        <v>79</v>
      </c>
      <c r="F9">
        <v>26.9</v>
      </c>
      <c r="G9">
        <v>6</v>
      </c>
      <c r="H9" t="s">
        <v>218</v>
      </c>
      <c r="I9">
        <v>29.4</v>
      </c>
      <c r="J9">
        <v>12</v>
      </c>
      <c r="K9" s="2">
        <f t="shared" si="0"/>
        <v>28.599999999999998</v>
      </c>
      <c r="L9" s="2">
        <f t="shared" si="1"/>
        <v>0.88571428571428557</v>
      </c>
      <c r="M9" s="2">
        <f t="shared" si="2"/>
        <v>10</v>
      </c>
      <c r="N9" s="2">
        <f t="shared" si="3"/>
        <v>0.83333333333333337</v>
      </c>
      <c r="O9" s="2">
        <f t="shared" si="4"/>
        <v>0.85952380952380947</v>
      </c>
      <c r="P9" s="2">
        <v>0.21010101010101007</v>
      </c>
      <c r="Q9" s="2">
        <f t="shared" si="5"/>
        <v>0.53481240981240974</v>
      </c>
      <c r="AB9" s="14" t="s">
        <v>7</v>
      </c>
      <c r="AC9" s="11" t="s">
        <v>176</v>
      </c>
      <c r="AD9" s="11" t="s">
        <v>79</v>
      </c>
      <c r="AE9" s="11" t="s">
        <v>218</v>
      </c>
      <c r="AF9" s="28">
        <v>10</v>
      </c>
      <c r="AG9" s="28">
        <v>28.599999999999998</v>
      </c>
      <c r="AH9" s="27">
        <v>0.85952380952380947</v>
      </c>
    </row>
    <row r="10" spans="1:35" x14ac:dyDescent="0.3">
      <c r="A10" s="5" t="s">
        <v>8</v>
      </c>
      <c r="B10" t="s">
        <v>177</v>
      </c>
      <c r="C10">
        <v>26.5</v>
      </c>
      <c r="D10">
        <v>6</v>
      </c>
      <c r="E10" t="s">
        <v>80</v>
      </c>
      <c r="F10">
        <v>26.7</v>
      </c>
      <c r="G10">
        <v>6</v>
      </c>
      <c r="H10" t="s">
        <v>107</v>
      </c>
      <c r="I10">
        <v>27.2</v>
      </c>
      <c r="J10">
        <v>5</v>
      </c>
      <c r="K10" s="2">
        <f t="shared" si="0"/>
        <v>26.8</v>
      </c>
      <c r="L10" s="2">
        <f t="shared" si="1"/>
        <v>0.8</v>
      </c>
      <c r="M10" s="2">
        <f t="shared" si="2"/>
        <v>5.666666666666667</v>
      </c>
      <c r="N10" s="2">
        <f t="shared" si="3"/>
        <v>0.47222222222222227</v>
      </c>
      <c r="O10" s="2">
        <f t="shared" si="4"/>
        <v>0.63611111111111118</v>
      </c>
      <c r="P10" s="2">
        <v>1</v>
      </c>
      <c r="Q10" s="2">
        <f t="shared" si="5"/>
        <v>0.81805555555555554</v>
      </c>
      <c r="AB10" s="14" t="s">
        <v>8</v>
      </c>
      <c r="AC10" s="11" t="s">
        <v>177</v>
      </c>
      <c r="AD10" s="11" t="s">
        <v>80</v>
      </c>
      <c r="AE10" s="11" t="s">
        <v>107</v>
      </c>
      <c r="AF10" s="28">
        <v>5.666666666666667</v>
      </c>
      <c r="AG10" s="28">
        <v>26.8</v>
      </c>
      <c r="AH10" s="27">
        <v>0.63611111111111118</v>
      </c>
    </row>
    <row r="11" spans="1:35" x14ac:dyDescent="0.3">
      <c r="A11" s="7" t="s">
        <v>9</v>
      </c>
      <c r="B11" t="s">
        <v>178</v>
      </c>
      <c r="C11">
        <v>30.8</v>
      </c>
      <c r="D11">
        <v>12</v>
      </c>
      <c r="E11" t="s">
        <v>81</v>
      </c>
      <c r="F11">
        <v>30.8</v>
      </c>
      <c r="G11">
        <v>12</v>
      </c>
      <c r="H11" t="s">
        <v>108</v>
      </c>
      <c r="I11">
        <v>30.3</v>
      </c>
      <c r="J11">
        <v>12</v>
      </c>
      <c r="K11" s="2">
        <f t="shared" si="0"/>
        <v>30.633333333333336</v>
      </c>
      <c r="L11" s="2">
        <f t="shared" si="1"/>
        <v>0.98253968253968271</v>
      </c>
      <c r="M11" s="2">
        <f t="shared" si="2"/>
        <v>12</v>
      </c>
      <c r="N11" s="2">
        <f t="shared" si="3"/>
        <v>1</v>
      </c>
      <c r="O11" s="2">
        <f t="shared" si="4"/>
        <v>0.9912698412698413</v>
      </c>
      <c r="P11" s="2">
        <v>0.73535353535353531</v>
      </c>
      <c r="Q11" s="2">
        <f t="shared" si="5"/>
        <v>0.86331168831168825</v>
      </c>
      <c r="AB11" s="17" t="s">
        <v>9</v>
      </c>
      <c r="AC11" s="11" t="s">
        <v>178</v>
      </c>
      <c r="AD11" s="11" t="s">
        <v>81</v>
      </c>
      <c r="AE11" s="11" t="s">
        <v>108</v>
      </c>
      <c r="AF11" s="28">
        <v>12</v>
      </c>
      <c r="AG11" s="28">
        <v>30.633333333333336</v>
      </c>
      <c r="AH11" s="27">
        <v>0.9912698412698413</v>
      </c>
    </row>
    <row r="12" spans="1:35" x14ac:dyDescent="0.3">
      <c r="A12" s="5" t="s">
        <v>10</v>
      </c>
      <c r="B12" t="s">
        <v>60</v>
      </c>
      <c r="C12">
        <v>0</v>
      </c>
      <c r="D12">
        <v>0</v>
      </c>
      <c r="E12" t="s">
        <v>60</v>
      </c>
      <c r="F12">
        <v>0</v>
      </c>
      <c r="G12">
        <v>0</v>
      </c>
      <c r="H12" t="s">
        <v>60</v>
      </c>
      <c r="I12">
        <v>0</v>
      </c>
      <c r="J12">
        <v>0</v>
      </c>
      <c r="K12" s="2">
        <v>0</v>
      </c>
      <c r="L12" s="2">
        <f t="shared" si="1"/>
        <v>0</v>
      </c>
      <c r="M12" s="2">
        <f t="shared" si="2"/>
        <v>0</v>
      </c>
      <c r="N12" s="2">
        <f t="shared" si="3"/>
        <v>0</v>
      </c>
      <c r="O12" s="2">
        <f t="shared" si="4"/>
        <v>0</v>
      </c>
      <c r="P12" s="2">
        <v>0</v>
      </c>
      <c r="Q12" s="2">
        <f t="shared" si="5"/>
        <v>0</v>
      </c>
      <c r="AB12" s="15" t="s">
        <v>22</v>
      </c>
      <c r="AC12" s="11" t="s">
        <v>22</v>
      </c>
      <c r="AD12" s="11" t="s">
        <v>60</v>
      </c>
      <c r="AE12" s="11" t="s">
        <v>60</v>
      </c>
      <c r="AF12" s="28">
        <v>6</v>
      </c>
      <c r="AG12" s="28">
        <v>30.4</v>
      </c>
      <c r="AH12" s="27">
        <v>0.73571428571428565</v>
      </c>
      <c r="AI12" s="2"/>
    </row>
    <row r="13" spans="1:35" x14ac:dyDescent="0.3">
      <c r="A13" s="8" t="s">
        <v>11</v>
      </c>
      <c r="B13" t="s">
        <v>179</v>
      </c>
      <c r="C13">
        <v>20.8</v>
      </c>
      <c r="D13">
        <v>4</v>
      </c>
      <c r="E13" t="s">
        <v>82</v>
      </c>
      <c r="F13">
        <v>19.899999999999999</v>
      </c>
      <c r="G13">
        <v>0</v>
      </c>
      <c r="H13" t="s">
        <v>109</v>
      </c>
      <c r="I13">
        <v>20</v>
      </c>
      <c r="J13">
        <v>1</v>
      </c>
      <c r="K13" s="2">
        <f t="shared" ref="K13:K22" si="6">AVERAGE(C13,F13,I13)</f>
        <v>20.233333333333334</v>
      </c>
      <c r="L13" s="2">
        <f t="shared" si="1"/>
        <v>0.48730158730158735</v>
      </c>
      <c r="M13" s="2">
        <f t="shared" si="2"/>
        <v>1.6666666666666667</v>
      </c>
      <c r="N13" s="2">
        <f t="shared" si="3"/>
        <v>0.1388888888888889</v>
      </c>
      <c r="O13" s="2">
        <f t="shared" si="4"/>
        <v>0.31309523809523809</v>
      </c>
      <c r="P13" s="2">
        <v>0.10505050505050503</v>
      </c>
      <c r="Q13" s="2">
        <f t="shared" si="5"/>
        <v>0.20907287157287158</v>
      </c>
    </row>
    <row r="14" spans="1:35" x14ac:dyDescent="0.3">
      <c r="A14" s="6" t="s">
        <v>12</v>
      </c>
      <c r="B14" t="s">
        <v>180</v>
      </c>
      <c r="C14">
        <v>30.5</v>
      </c>
      <c r="D14">
        <v>12</v>
      </c>
      <c r="E14" t="s">
        <v>83</v>
      </c>
      <c r="F14">
        <v>30.2</v>
      </c>
      <c r="G14">
        <v>12</v>
      </c>
      <c r="H14" t="s">
        <v>110</v>
      </c>
      <c r="I14">
        <v>30.2</v>
      </c>
      <c r="J14">
        <v>12</v>
      </c>
      <c r="K14" s="2">
        <f t="shared" si="6"/>
        <v>30.3</v>
      </c>
      <c r="L14" s="2">
        <f t="shared" si="1"/>
        <v>0.96666666666666667</v>
      </c>
      <c r="M14" s="2">
        <f t="shared" si="2"/>
        <v>12</v>
      </c>
      <c r="N14" s="2">
        <f t="shared" si="3"/>
        <v>1</v>
      </c>
      <c r="O14" s="2">
        <f t="shared" si="4"/>
        <v>0.98333333333333339</v>
      </c>
      <c r="P14" s="2">
        <v>0.31515151515151513</v>
      </c>
      <c r="Q14" s="2">
        <f t="shared" si="5"/>
        <v>0.64924242424242429</v>
      </c>
    </row>
    <row r="15" spans="1:35" x14ac:dyDescent="0.3">
      <c r="A15" s="8" t="s">
        <v>13</v>
      </c>
      <c r="B15" t="s">
        <v>181</v>
      </c>
      <c r="C15">
        <v>29.5</v>
      </c>
      <c r="D15">
        <v>9</v>
      </c>
      <c r="E15" t="s">
        <v>84</v>
      </c>
      <c r="F15">
        <v>28.3</v>
      </c>
      <c r="G15">
        <v>8</v>
      </c>
      <c r="H15" t="s">
        <v>111</v>
      </c>
      <c r="I15">
        <v>26.7</v>
      </c>
      <c r="J15">
        <v>4</v>
      </c>
      <c r="K15" s="2">
        <f t="shared" si="6"/>
        <v>28.166666666666668</v>
      </c>
      <c r="L15" s="2">
        <f t="shared" si="1"/>
        <v>0.86507936507936511</v>
      </c>
      <c r="M15" s="2">
        <f t="shared" si="2"/>
        <v>7</v>
      </c>
      <c r="N15" s="2">
        <f t="shared" si="3"/>
        <v>0.58333333333333337</v>
      </c>
      <c r="O15" s="2">
        <f t="shared" si="4"/>
        <v>0.7242063492063493</v>
      </c>
      <c r="P15" s="2">
        <v>0.10505050505050503</v>
      </c>
      <c r="Q15" s="2">
        <f t="shared" si="5"/>
        <v>0.41462842712842718</v>
      </c>
    </row>
    <row r="16" spans="1:35" x14ac:dyDescent="0.3">
      <c r="A16" s="8" t="s">
        <v>14</v>
      </c>
      <c r="B16" t="s">
        <v>182</v>
      </c>
      <c r="C16">
        <v>19.3</v>
      </c>
      <c r="D16">
        <v>0</v>
      </c>
      <c r="E16" t="s">
        <v>85</v>
      </c>
      <c r="F16">
        <v>19.100000000000001</v>
      </c>
      <c r="G16">
        <v>0</v>
      </c>
      <c r="H16" t="s">
        <v>112</v>
      </c>
      <c r="I16">
        <v>19.2</v>
      </c>
      <c r="J16">
        <v>0</v>
      </c>
      <c r="K16" s="2">
        <f t="shared" si="6"/>
        <v>19.200000000000003</v>
      </c>
      <c r="L16" s="2">
        <f t="shared" si="1"/>
        <v>0.4380952380952382</v>
      </c>
      <c r="M16" s="2">
        <f t="shared" si="2"/>
        <v>0</v>
      </c>
      <c r="N16" s="2">
        <f t="shared" si="3"/>
        <v>0</v>
      </c>
      <c r="O16" s="2">
        <f t="shared" si="4"/>
        <v>0.2190476190476191</v>
      </c>
      <c r="P16" s="2">
        <v>0</v>
      </c>
      <c r="Q16" s="2">
        <f t="shared" si="5"/>
        <v>0.10952380952380955</v>
      </c>
    </row>
    <row r="17" spans="1:35" x14ac:dyDescent="0.3">
      <c r="A17" s="6" t="s">
        <v>15</v>
      </c>
      <c r="B17" t="s">
        <v>183</v>
      </c>
      <c r="C17">
        <v>30</v>
      </c>
      <c r="D17">
        <v>12</v>
      </c>
      <c r="E17" t="s">
        <v>86</v>
      </c>
      <c r="F17">
        <v>29.5</v>
      </c>
      <c r="G17">
        <v>12</v>
      </c>
      <c r="H17" t="s">
        <v>113</v>
      </c>
      <c r="I17">
        <v>29.9</v>
      </c>
      <c r="J17">
        <v>12</v>
      </c>
      <c r="K17" s="2">
        <f t="shared" si="6"/>
        <v>29.8</v>
      </c>
      <c r="L17" s="2">
        <f t="shared" si="1"/>
        <v>0.94285714285714284</v>
      </c>
      <c r="M17" s="2">
        <f t="shared" si="2"/>
        <v>12</v>
      </c>
      <c r="N17" s="2">
        <f t="shared" si="3"/>
        <v>1</v>
      </c>
      <c r="O17" s="2">
        <f t="shared" si="4"/>
        <v>0.97142857142857142</v>
      </c>
      <c r="P17" s="2">
        <v>0.21010101010101007</v>
      </c>
      <c r="Q17" s="2">
        <f t="shared" si="5"/>
        <v>0.59076479076479071</v>
      </c>
    </row>
    <row r="18" spans="1:35" x14ac:dyDescent="0.3">
      <c r="A18" s="8" t="s">
        <v>16</v>
      </c>
      <c r="B18" t="s">
        <v>184</v>
      </c>
      <c r="C18">
        <v>14.1</v>
      </c>
      <c r="D18">
        <v>0</v>
      </c>
      <c r="E18" t="s">
        <v>87</v>
      </c>
      <c r="F18">
        <v>18.5</v>
      </c>
      <c r="G18">
        <v>0</v>
      </c>
      <c r="H18" t="s">
        <v>114</v>
      </c>
      <c r="I18">
        <v>11.6</v>
      </c>
      <c r="J18">
        <v>0</v>
      </c>
      <c r="K18" s="2">
        <f t="shared" si="6"/>
        <v>14.733333333333334</v>
      </c>
      <c r="L18" s="2">
        <f t="shared" si="1"/>
        <v>0.22539682539682543</v>
      </c>
      <c r="M18" s="2">
        <f t="shared" si="2"/>
        <v>0</v>
      </c>
      <c r="N18" s="2">
        <f t="shared" si="3"/>
        <v>0</v>
      </c>
      <c r="O18" s="2">
        <f t="shared" si="4"/>
        <v>0.11269841269841271</v>
      </c>
      <c r="P18" s="2">
        <v>0.10505050505050503</v>
      </c>
      <c r="Q18" s="2">
        <f t="shared" si="5"/>
        <v>0.10887445887445887</v>
      </c>
      <c r="AB18" s="10" t="s">
        <v>67</v>
      </c>
      <c r="AC18" s="23" t="s">
        <v>348</v>
      </c>
      <c r="AD18" s="1"/>
      <c r="AE18" s="1"/>
      <c r="AF18" s="1"/>
      <c r="AG18" s="4"/>
      <c r="AH18" s="30"/>
      <c r="AI18" s="1"/>
    </row>
    <row r="19" spans="1:35" x14ac:dyDescent="0.3">
      <c r="A19" s="8" t="s">
        <v>17</v>
      </c>
      <c r="B19" t="s">
        <v>185</v>
      </c>
      <c r="C19">
        <v>29.8</v>
      </c>
      <c r="D19">
        <v>12</v>
      </c>
      <c r="E19" t="s">
        <v>88</v>
      </c>
      <c r="F19">
        <v>30.7</v>
      </c>
      <c r="G19">
        <v>12</v>
      </c>
      <c r="H19" t="s">
        <v>115</v>
      </c>
      <c r="I19">
        <v>30.1</v>
      </c>
      <c r="J19">
        <v>12</v>
      </c>
      <c r="K19" s="2">
        <f t="shared" si="6"/>
        <v>30.2</v>
      </c>
      <c r="L19" s="2">
        <f t="shared" si="1"/>
        <v>0.96190476190476182</v>
      </c>
      <c r="M19" s="2">
        <f t="shared" si="2"/>
        <v>12</v>
      </c>
      <c r="N19" s="2">
        <f t="shared" si="3"/>
        <v>1</v>
      </c>
      <c r="O19" s="2">
        <f t="shared" si="4"/>
        <v>0.98095238095238091</v>
      </c>
      <c r="P19" s="2">
        <v>0.21010101010101007</v>
      </c>
      <c r="Q19" s="2">
        <f t="shared" si="5"/>
        <v>0.59552669552669546</v>
      </c>
      <c r="AB19" s="14" t="s">
        <v>0</v>
      </c>
      <c r="AC19" s="24">
        <v>0.4706168831168831</v>
      </c>
      <c r="AF19" s="31"/>
      <c r="AG19" s="31"/>
      <c r="AH19" s="32"/>
    </row>
    <row r="20" spans="1:35" x14ac:dyDescent="0.3">
      <c r="A20" s="6" t="s">
        <v>18</v>
      </c>
      <c r="B20" t="s">
        <v>61</v>
      </c>
      <c r="C20">
        <v>20.5</v>
      </c>
      <c r="D20">
        <v>3</v>
      </c>
      <c r="E20" t="s">
        <v>62</v>
      </c>
      <c r="F20">
        <v>21.6</v>
      </c>
      <c r="G20">
        <v>3</v>
      </c>
      <c r="H20" t="s">
        <v>63</v>
      </c>
      <c r="I20">
        <v>19.100000000000001</v>
      </c>
      <c r="J20">
        <v>0</v>
      </c>
      <c r="K20" s="2">
        <f t="shared" si="6"/>
        <v>20.400000000000002</v>
      </c>
      <c r="L20" s="2">
        <f t="shared" si="1"/>
        <v>0.49523809523809537</v>
      </c>
      <c r="M20" s="2">
        <f t="shared" si="2"/>
        <v>2</v>
      </c>
      <c r="N20" s="2">
        <f t="shared" si="3"/>
        <v>0.16666666666666666</v>
      </c>
      <c r="O20" s="2">
        <f t="shared" si="4"/>
        <v>0.330952380952381</v>
      </c>
      <c r="P20" s="2">
        <v>0.10505050505050503</v>
      </c>
      <c r="Q20" s="2">
        <f t="shared" si="5"/>
        <v>0.21800144300144303</v>
      </c>
      <c r="AB20" s="14" t="s">
        <v>1</v>
      </c>
      <c r="AC20" s="24">
        <v>0.51203102453102445</v>
      </c>
      <c r="AF20" s="31"/>
      <c r="AG20" s="31"/>
      <c r="AH20" s="32"/>
    </row>
    <row r="21" spans="1:35" x14ac:dyDescent="0.3">
      <c r="A21" s="6" t="s">
        <v>19</v>
      </c>
      <c r="B21" t="s">
        <v>186</v>
      </c>
      <c r="C21">
        <v>29.1</v>
      </c>
      <c r="D21">
        <v>12</v>
      </c>
      <c r="E21" t="s">
        <v>89</v>
      </c>
      <c r="F21">
        <v>28.1</v>
      </c>
      <c r="G21">
        <v>8</v>
      </c>
      <c r="H21" t="s">
        <v>116</v>
      </c>
      <c r="I21">
        <v>28.3</v>
      </c>
      <c r="J21">
        <v>8</v>
      </c>
      <c r="K21" s="2">
        <f t="shared" si="6"/>
        <v>28.5</v>
      </c>
      <c r="L21" s="2">
        <f t="shared" si="1"/>
        <v>0.88095238095238093</v>
      </c>
      <c r="M21" s="2">
        <f t="shared" si="2"/>
        <v>9.3333333333333339</v>
      </c>
      <c r="N21" s="2">
        <f t="shared" si="3"/>
        <v>0.77777777777777779</v>
      </c>
      <c r="O21" s="2">
        <f t="shared" si="4"/>
        <v>0.82936507936507931</v>
      </c>
      <c r="P21" s="2">
        <v>0.10505050505050503</v>
      </c>
      <c r="Q21" s="2">
        <f t="shared" si="5"/>
        <v>0.46720779220779218</v>
      </c>
      <c r="AB21" s="14" t="s">
        <v>2</v>
      </c>
      <c r="AC21" s="24">
        <v>0.69650072150072151</v>
      </c>
      <c r="AF21" s="31"/>
      <c r="AG21" s="31"/>
      <c r="AH21" s="32"/>
    </row>
    <row r="22" spans="1:35" x14ac:dyDescent="0.3">
      <c r="A22" s="6" t="s">
        <v>20</v>
      </c>
      <c r="B22" t="s">
        <v>187</v>
      </c>
      <c r="C22">
        <v>29.3</v>
      </c>
      <c r="D22">
        <v>12</v>
      </c>
      <c r="E22" t="s">
        <v>90</v>
      </c>
      <c r="F22">
        <v>29.3</v>
      </c>
      <c r="G22">
        <v>12</v>
      </c>
      <c r="H22" t="s">
        <v>117</v>
      </c>
      <c r="I22">
        <v>29.3</v>
      </c>
      <c r="J22">
        <v>12</v>
      </c>
      <c r="K22" s="2">
        <f t="shared" si="6"/>
        <v>29.3</v>
      </c>
      <c r="L22" s="2">
        <f t="shared" si="1"/>
        <v>0.91904761904761911</v>
      </c>
      <c r="M22" s="2">
        <f t="shared" si="2"/>
        <v>12</v>
      </c>
      <c r="N22" s="2">
        <f t="shared" si="3"/>
        <v>1</v>
      </c>
      <c r="O22" s="2">
        <f t="shared" si="4"/>
        <v>0.95952380952380956</v>
      </c>
      <c r="P22" s="2">
        <v>0.63030303030303025</v>
      </c>
      <c r="Q22" s="2">
        <f t="shared" si="5"/>
        <v>0.79491341991341991</v>
      </c>
      <c r="AB22" s="17" t="s">
        <v>3</v>
      </c>
      <c r="AC22" s="24">
        <v>0.5038600288600289</v>
      </c>
      <c r="AF22" s="31"/>
      <c r="AG22" s="31"/>
      <c r="AH22" s="32"/>
    </row>
    <row r="23" spans="1:35" x14ac:dyDescent="0.3">
      <c r="A23" s="8" t="s">
        <v>21</v>
      </c>
      <c r="B23" t="s">
        <v>60</v>
      </c>
      <c r="C23">
        <v>0</v>
      </c>
      <c r="D23">
        <v>0</v>
      </c>
      <c r="E23" t="s">
        <v>60</v>
      </c>
      <c r="F23">
        <v>0</v>
      </c>
      <c r="G23">
        <v>0</v>
      </c>
      <c r="H23" t="s">
        <v>60</v>
      </c>
      <c r="I23">
        <v>0</v>
      </c>
      <c r="J23">
        <v>0</v>
      </c>
      <c r="K23" s="2">
        <v>0</v>
      </c>
      <c r="L23" s="2">
        <f t="shared" si="1"/>
        <v>0</v>
      </c>
      <c r="M23" s="2">
        <f t="shared" si="2"/>
        <v>0</v>
      </c>
      <c r="N23" s="2">
        <f t="shared" si="3"/>
        <v>0</v>
      </c>
      <c r="O23" s="2">
        <f t="shared" si="4"/>
        <v>0</v>
      </c>
      <c r="P23" s="2">
        <v>0</v>
      </c>
      <c r="Q23" s="2">
        <f t="shared" si="5"/>
        <v>0</v>
      </c>
      <c r="AB23" s="14" t="s">
        <v>4</v>
      </c>
      <c r="AC23" s="24">
        <v>0.60458152958152955</v>
      </c>
      <c r="AF23" s="31"/>
      <c r="AG23" s="31"/>
      <c r="AH23" s="32"/>
    </row>
    <row r="24" spans="1:35" x14ac:dyDescent="0.3">
      <c r="A24" s="8" t="s">
        <v>22</v>
      </c>
      <c r="B24" t="s">
        <v>64</v>
      </c>
      <c r="C24">
        <v>30.4</v>
      </c>
      <c r="D24">
        <v>12</v>
      </c>
      <c r="E24" t="s">
        <v>60</v>
      </c>
      <c r="F24">
        <v>0</v>
      </c>
      <c r="G24">
        <v>0</v>
      </c>
      <c r="H24" t="s">
        <v>60</v>
      </c>
      <c r="I24">
        <v>0</v>
      </c>
      <c r="J24">
        <v>0</v>
      </c>
      <c r="K24" s="2">
        <f>AVERAGE(C24)</f>
        <v>30.4</v>
      </c>
      <c r="L24" s="2">
        <f t="shared" si="1"/>
        <v>0.97142857142857131</v>
      </c>
      <c r="M24" s="2">
        <f>AVERAGE(D24,)</f>
        <v>6</v>
      </c>
      <c r="N24" s="2">
        <f t="shared" si="3"/>
        <v>0.5</v>
      </c>
      <c r="O24" s="2">
        <f t="shared" si="4"/>
        <v>0.73571428571428565</v>
      </c>
      <c r="P24" s="2">
        <v>0</v>
      </c>
      <c r="Q24" s="2">
        <f t="shared" si="5"/>
        <v>0.36785714285714283</v>
      </c>
      <c r="AB24" s="17" t="s">
        <v>5</v>
      </c>
      <c r="AC24" s="24">
        <v>0.77586580086580081</v>
      </c>
      <c r="AF24" s="31"/>
      <c r="AG24" s="31"/>
      <c r="AH24" s="32"/>
    </row>
    <row r="25" spans="1:35" x14ac:dyDescent="0.3">
      <c r="A25" s="8" t="s">
        <v>23</v>
      </c>
      <c r="B25" t="s">
        <v>188</v>
      </c>
      <c r="C25">
        <v>25.5</v>
      </c>
      <c r="D25">
        <v>5</v>
      </c>
      <c r="E25" t="s">
        <v>91</v>
      </c>
      <c r="F25">
        <v>25.6</v>
      </c>
      <c r="G25">
        <v>6</v>
      </c>
      <c r="H25" t="s">
        <v>118</v>
      </c>
      <c r="I25">
        <v>25.5</v>
      </c>
      <c r="J25">
        <v>6</v>
      </c>
      <c r="K25" s="2">
        <f>AVERAGE(C25,F25,I25)</f>
        <v>25.533333333333331</v>
      </c>
      <c r="L25" s="2">
        <f t="shared" si="1"/>
        <v>0.73968253968253961</v>
      </c>
      <c r="M25" s="2">
        <f>AVERAGE(D25,G25,J25)</f>
        <v>5.666666666666667</v>
      </c>
      <c r="N25" s="2">
        <f t="shared" si="3"/>
        <v>0.47222222222222227</v>
      </c>
      <c r="O25" s="2">
        <f t="shared" si="4"/>
        <v>0.60595238095238091</v>
      </c>
      <c r="P25" s="2">
        <v>0</v>
      </c>
      <c r="Q25" s="2">
        <f t="shared" si="5"/>
        <v>0.30297619047619045</v>
      </c>
      <c r="AB25" s="14" t="s">
        <v>6</v>
      </c>
      <c r="AC25" s="24">
        <v>0.18084415584415584</v>
      </c>
      <c r="AF25" s="31"/>
      <c r="AG25" s="31"/>
      <c r="AH25" s="32"/>
    </row>
    <row r="26" spans="1:35" x14ac:dyDescent="0.3">
      <c r="A26" s="8" t="s">
        <v>24</v>
      </c>
      <c r="B26" t="s">
        <v>65</v>
      </c>
      <c r="C26">
        <v>24.7</v>
      </c>
      <c r="D26">
        <v>4</v>
      </c>
      <c r="E26" t="s">
        <v>60</v>
      </c>
      <c r="F26">
        <v>0</v>
      </c>
      <c r="G26">
        <v>0</v>
      </c>
      <c r="H26" t="s">
        <v>60</v>
      </c>
      <c r="I26">
        <v>0</v>
      </c>
      <c r="J26">
        <v>0</v>
      </c>
      <c r="K26" s="2">
        <f>AVERAGE(C26)</f>
        <v>24.7</v>
      </c>
      <c r="L26" s="2">
        <f t="shared" si="1"/>
        <v>0.7</v>
      </c>
      <c r="M26" s="2">
        <f>AVERAGE(D26,)</f>
        <v>2</v>
      </c>
      <c r="N26" s="2">
        <f t="shared" si="3"/>
        <v>0.16666666666666666</v>
      </c>
      <c r="O26" s="2">
        <f t="shared" si="4"/>
        <v>0.43333333333333329</v>
      </c>
      <c r="P26" s="2">
        <v>0</v>
      </c>
      <c r="Q26" s="2">
        <f t="shared" si="5"/>
        <v>0.21666666666666665</v>
      </c>
      <c r="AB26" s="14" t="s">
        <v>7</v>
      </c>
      <c r="AC26" s="24">
        <v>0.53481240981240974</v>
      </c>
      <c r="AF26" s="31"/>
      <c r="AG26" s="31"/>
      <c r="AH26" s="32"/>
    </row>
    <row r="27" spans="1:35" x14ac:dyDescent="0.3">
      <c r="A27" s="6" t="s">
        <v>25</v>
      </c>
      <c r="B27" t="s">
        <v>189</v>
      </c>
      <c r="C27">
        <v>27.3</v>
      </c>
      <c r="D27">
        <v>6</v>
      </c>
      <c r="E27" t="s">
        <v>92</v>
      </c>
      <c r="F27">
        <v>27.4</v>
      </c>
      <c r="G27">
        <v>6</v>
      </c>
      <c r="H27" t="s">
        <v>119</v>
      </c>
      <c r="I27">
        <v>27.5</v>
      </c>
      <c r="J27">
        <v>6</v>
      </c>
      <c r="K27" s="2">
        <f t="shared" ref="K27:K32" si="7">AVERAGE(C27,F27,I27)</f>
        <v>27.400000000000002</v>
      </c>
      <c r="L27" s="2">
        <f t="shared" si="1"/>
        <v>0.82857142857142863</v>
      </c>
      <c r="M27" s="2">
        <f t="shared" ref="M27:M50" si="8">AVERAGE(D27,G27,J27)</f>
        <v>6</v>
      </c>
      <c r="N27" s="2">
        <f t="shared" si="3"/>
        <v>0.5</v>
      </c>
      <c r="O27" s="2">
        <f t="shared" si="4"/>
        <v>0.66428571428571437</v>
      </c>
      <c r="P27" s="2">
        <v>0</v>
      </c>
      <c r="Q27" s="2">
        <f t="shared" si="5"/>
        <v>0.33214285714285718</v>
      </c>
      <c r="AB27" s="14" t="s">
        <v>8</v>
      </c>
      <c r="AC27" s="24">
        <v>0.81805555555555554</v>
      </c>
      <c r="AF27" s="31"/>
      <c r="AG27" s="31"/>
      <c r="AH27" s="32"/>
    </row>
    <row r="28" spans="1:35" x14ac:dyDescent="0.3">
      <c r="A28" s="6" t="s">
        <v>26</v>
      </c>
      <c r="B28" t="s">
        <v>190</v>
      </c>
      <c r="C28">
        <v>19.3</v>
      </c>
      <c r="D28">
        <v>0</v>
      </c>
      <c r="E28" t="s">
        <v>93</v>
      </c>
      <c r="F28">
        <v>25.7</v>
      </c>
      <c r="G28">
        <v>12</v>
      </c>
      <c r="H28" t="s">
        <v>120</v>
      </c>
      <c r="I28">
        <v>25.4</v>
      </c>
      <c r="J28">
        <v>12</v>
      </c>
      <c r="K28" s="2">
        <f t="shared" si="7"/>
        <v>23.466666666666669</v>
      </c>
      <c r="L28" s="2">
        <f t="shared" si="1"/>
        <v>0.64126984126984132</v>
      </c>
      <c r="M28" s="2">
        <f t="shared" si="8"/>
        <v>8</v>
      </c>
      <c r="N28" s="2">
        <f t="shared" si="3"/>
        <v>0.66666666666666663</v>
      </c>
      <c r="O28" s="2">
        <f t="shared" si="4"/>
        <v>0.65396825396825398</v>
      </c>
      <c r="P28" s="2">
        <v>0.34242424242424241</v>
      </c>
      <c r="Q28" s="2">
        <f t="shared" si="5"/>
        <v>0.49819624819624819</v>
      </c>
      <c r="AB28" s="17" t="s">
        <v>9</v>
      </c>
      <c r="AC28" s="24">
        <v>0.86331168831168825</v>
      </c>
      <c r="AF28" s="31"/>
      <c r="AG28" s="31"/>
      <c r="AH28" s="32"/>
    </row>
    <row r="29" spans="1:35" x14ac:dyDescent="0.3">
      <c r="A29" s="8" t="s">
        <v>27</v>
      </c>
      <c r="B29" t="s">
        <v>191</v>
      </c>
      <c r="C29">
        <v>17.399999999999999</v>
      </c>
      <c r="D29">
        <v>0</v>
      </c>
      <c r="E29" t="s">
        <v>94</v>
      </c>
      <c r="F29">
        <v>18.100000000000001</v>
      </c>
      <c r="G29">
        <v>0</v>
      </c>
      <c r="H29" t="s">
        <v>121</v>
      </c>
      <c r="I29">
        <v>18.100000000000001</v>
      </c>
      <c r="J29">
        <v>0</v>
      </c>
      <c r="K29" s="2">
        <f t="shared" si="7"/>
        <v>17.866666666666667</v>
      </c>
      <c r="L29" s="2">
        <f t="shared" si="1"/>
        <v>0.3746031746031746</v>
      </c>
      <c r="M29" s="2">
        <f t="shared" si="8"/>
        <v>0</v>
      </c>
      <c r="N29" s="2">
        <f t="shared" si="3"/>
        <v>0</v>
      </c>
      <c r="O29" s="2">
        <f t="shared" si="4"/>
        <v>0.1873015873015873</v>
      </c>
      <c r="P29" s="2">
        <v>0</v>
      </c>
      <c r="Q29" s="2">
        <f t="shared" si="5"/>
        <v>9.3650793650793651E-2</v>
      </c>
      <c r="AB29" s="15" t="s">
        <v>22</v>
      </c>
      <c r="AC29" s="24">
        <v>0.36785714285714283</v>
      </c>
      <c r="AF29" s="31"/>
      <c r="AG29" s="31"/>
      <c r="AH29" s="32"/>
      <c r="AI29" s="2"/>
    </row>
    <row r="30" spans="1:35" x14ac:dyDescent="0.3">
      <c r="A30" s="8" t="s">
        <v>28</v>
      </c>
      <c r="B30" t="s">
        <v>192</v>
      </c>
      <c r="C30">
        <v>25.8</v>
      </c>
      <c r="D30">
        <v>4</v>
      </c>
      <c r="E30" t="s">
        <v>95</v>
      </c>
      <c r="F30">
        <v>25.7</v>
      </c>
      <c r="G30">
        <v>4</v>
      </c>
      <c r="H30" t="s">
        <v>122</v>
      </c>
      <c r="I30">
        <v>25.6</v>
      </c>
      <c r="J30">
        <v>4</v>
      </c>
      <c r="K30" s="2">
        <f t="shared" si="7"/>
        <v>25.7</v>
      </c>
      <c r="L30" s="2">
        <f t="shared" si="1"/>
        <v>0.74761904761904763</v>
      </c>
      <c r="M30" s="2">
        <f t="shared" si="8"/>
        <v>4</v>
      </c>
      <c r="N30" s="2">
        <f t="shared" si="3"/>
        <v>0.33333333333333331</v>
      </c>
      <c r="O30" s="2">
        <f t="shared" si="4"/>
        <v>0.54047619047619044</v>
      </c>
      <c r="P30" s="2">
        <v>0</v>
      </c>
      <c r="Q30" s="2">
        <f t="shared" si="5"/>
        <v>0.27023809523809522</v>
      </c>
    </row>
    <row r="31" spans="1:35" x14ac:dyDescent="0.3">
      <c r="A31" s="6" t="s">
        <v>29</v>
      </c>
      <c r="B31" t="s">
        <v>193</v>
      </c>
      <c r="C31">
        <v>29.2</v>
      </c>
      <c r="D31">
        <v>12</v>
      </c>
      <c r="E31" t="s">
        <v>96</v>
      </c>
      <c r="F31">
        <v>29.3</v>
      </c>
      <c r="G31">
        <v>12</v>
      </c>
      <c r="H31" t="s">
        <v>123</v>
      </c>
      <c r="I31">
        <v>29.2</v>
      </c>
      <c r="J31">
        <v>12</v>
      </c>
      <c r="K31" s="2">
        <f t="shared" si="7"/>
        <v>29.233333333333334</v>
      </c>
      <c r="L31" s="2">
        <f t="shared" si="1"/>
        <v>0.91587301587301595</v>
      </c>
      <c r="M31" s="2">
        <f t="shared" si="8"/>
        <v>12</v>
      </c>
      <c r="N31" s="2">
        <f t="shared" si="3"/>
        <v>1</v>
      </c>
      <c r="O31" s="2">
        <f t="shared" si="4"/>
        <v>0.95793650793650797</v>
      </c>
      <c r="P31" s="2">
        <v>0.31515151515151513</v>
      </c>
      <c r="Q31" s="2">
        <f t="shared" si="5"/>
        <v>0.63654401154401152</v>
      </c>
    </row>
    <row r="32" spans="1:35" x14ac:dyDescent="0.3">
      <c r="A32" s="8" t="s">
        <v>30</v>
      </c>
      <c r="B32" t="s">
        <v>194</v>
      </c>
      <c r="C32">
        <v>26.4</v>
      </c>
      <c r="D32">
        <v>12</v>
      </c>
      <c r="E32" t="s">
        <v>97</v>
      </c>
      <c r="F32">
        <v>24.9</v>
      </c>
      <c r="G32">
        <v>9</v>
      </c>
      <c r="H32" t="s">
        <v>124</v>
      </c>
      <c r="I32">
        <v>19.899999999999999</v>
      </c>
      <c r="J32">
        <v>0</v>
      </c>
      <c r="K32" s="2">
        <f t="shared" si="7"/>
        <v>23.733333333333331</v>
      </c>
      <c r="L32" s="2">
        <f t="shared" si="1"/>
        <v>0.65396825396825387</v>
      </c>
      <c r="M32" s="2">
        <f t="shared" si="8"/>
        <v>7</v>
      </c>
      <c r="N32" s="2">
        <f t="shared" si="3"/>
        <v>0.58333333333333337</v>
      </c>
      <c r="O32" s="2">
        <f t="shared" si="4"/>
        <v>0.61865079365079367</v>
      </c>
      <c r="P32" s="2">
        <v>1</v>
      </c>
      <c r="Q32" s="2">
        <f t="shared" si="5"/>
        <v>0.80932539682539684</v>
      </c>
    </row>
    <row r="33" spans="1:17" x14ac:dyDescent="0.3">
      <c r="A33" s="8" t="s">
        <v>31</v>
      </c>
      <c r="B33" t="s">
        <v>60</v>
      </c>
      <c r="C33">
        <v>0</v>
      </c>
      <c r="D33">
        <v>0</v>
      </c>
      <c r="E33" t="s">
        <v>60</v>
      </c>
      <c r="F33">
        <v>0</v>
      </c>
      <c r="G33">
        <v>0</v>
      </c>
      <c r="H33" t="s">
        <v>60</v>
      </c>
      <c r="I33">
        <v>0</v>
      </c>
      <c r="J33">
        <v>0</v>
      </c>
      <c r="K33" s="2">
        <v>0</v>
      </c>
      <c r="L33" s="2">
        <f t="shared" si="1"/>
        <v>0</v>
      </c>
      <c r="M33" s="2">
        <f t="shared" si="8"/>
        <v>0</v>
      </c>
      <c r="N33" s="2">
        <f t="shared" si="3"/>
        <v>0</v>
      </c>
      <c r="O33" s="2">
        <f t="shared" si="4"/>
        <v>0</v>
      </c>
      <c r="P33" s="2">
        <v>0</v>
      </c>
      <c r="Q33" s="2">
        <f t="shared" si="5"/>
        <v>0</v>
      </c>
    </row>
    <row r="34" spans="1:17" x14ac:dyDescent="0.3">
      <c r="A34" s="6" t="s">
        <v>32</v>
      </c>
      <c r="B34" t="s">
        <v>195</v>
      </c>
      <c r="C34">
        <v>26.1</v>
      </c>
      <c r="D34">
        <v>12</v>
      </c>
      <c r="E34" t="s">
        <v>98</v>
      </c>
      <c r="F34">
        <v>26.1</v>
      </c>
      <c r="G34">
        <v>8</v>
      </c>
      <c r="H34" t="s">
        <v>125</v>
      </c>
      <c r="I34">
        <v>27.2</v>
      </c>
      <c r="J34">
        <v>12</v>
      </c>
      <c r="K34" s="2">
        <f t="shared" ref="K34:K42" si="9">AVERAGE(C34,F34,I34)</f>
        <v>26.466666666666669</v>
      </c>
      <c r="L34" s="2">
        <f t="shared" ref="L34:L65" si="10">(MAX(10, MIN(K34, 31)) - 10) / 21</f>
        <v>0.78412698412698423</v>
      </c>
      <c r="M34" s="2">
        <f t="shared" si="8"/>
        <v>10.666666666666666</v>
      </c>
      <c r="N34" s="2">
        <f t="shared" ref="N34:N65" si="11">M34/12</f>
        <v>0.88888888888888884</v>
      </c>
      <c r="O34" s="2">
        <f t="shared" ref="O34:O65" si="12">0.5*L34+0.5*N34</f>
        <v>0.83650793650793653</v>
      </c>
      <c r="P34" s="2">
        <v>0.44747474747474741</v>
      </c>
      <c r="Q34" s="2">
        <f t="shared" ref="Q34:Q65" si="13">0.5 * O34 + 0.5 * P34</f>
        <v>0.641991341991342</v>
      </c>
    </row>
    <row r="35" spans="1:17" x14ac:dyDescent="0.3">
      <c r="A35" s="6" t="s">
        <v>33</v>
      </c>
      <c r="B35" t="s">
        <v>196</v>
      </c>
      <c r="C35">
        <v>29.7</v>
      </c>
      <c r="D35">
        <v>12</v>
      </c>
      <c r="E35" t="s">
        <v>99</v>
      </c>
      <c r="F35">
        <v>29.3</v>
      </c>
      <c r="G35">
        <v>12</v>
      </c>
      <c r="H35" t="s">
        <v>126</v>
      </c>
      <c r="I35">
        <v>29.9</v>
      </c>
      <c r="J35">
        <v>12</v>
      </c>
      <c r="K35" s="2">
        <f t="shared" si="9"/>
        <v>29.633333333333336</v>
      </c>
      <c r="L35" s="2">
        <f t="shared" si="10"/>
        <v>0.93492063492063504</v>
      </c>
      <c r="M35" s="2">
        <f t="shared" si="8"/>
        <v>12</v>
      </c>
      <c r="N35" s="2">
        <f t="shared" si="11"/>
        <v>1</v>
      </c>
      <c r="O35" s="2">
        <f t="shared" si="12"/>
        <v>0.96746031746031758</v>
      </c>
      <c r="P35" s="2">
        <v>0.21010101010101007</v>
      </c>
      <c r="Q35" s="2">
        <f t="shared" si="13"/>
        <v>0.58878066378066385</v>
      </c>
    </row>
    <row r="36" spans="1:17" x14ac:dyDescent="0.3">
      <c r="A36" s="6" t="s">
        <v>34</v>
      </c>
      <c r="B36" t="s">
        <v>197</v>
      </c>
      <c r="C36">
        <v>30.7</v>
      </c>
      <c r="D36">
        <v>12</v>
      </c>
      <c r="E36" t="s">
        <v>100</v>
      </c>
      <c r="F36">
        <v>30.7</v>
      </c>
      <c r="G36">
        <v>12</v>
      </c>
      <c r="H36" t="s">
        <v>127</v>
      </c>
      <c r="I36">
        <v>30.9</v>
      </c>
      <c r="J36">
        <v>12</v>
      </c>
      <c r="K36" s="2">
        <f t="shared" si="9"/>
        <v>30.766666666666666</v>
      </c>
      <c r="L36" s="2">
        <f t="shared" si="10"/>
        <v>0.98888888888888882</v>
      </c>
      <c r="M36" s="2">
        <f t="shared" si="8"/>
        <v>12</v>
      </c>
      <c r="N36" s="2">
        <f t="shared" si="11"/>
        <v>1</v>
      </c>
      <c r="O36" s="2">
        <f t="shared" si="12"/>
        <v>0.99444444444444446</v>
      </c>
      <c r="P36" s="2">
        <v>0.10505050505050503</v>
      </c>
      <c r="Q36" s="2">
        <f t="shared" si="13"/>
        <v>0.54974747474747476</v>
      </c>
    </row>
    <row r="37" spans="1:17" x14ac:dyDescent="0.3">
      <c r="A37" s="8" t="s">
        <v>35</v>
      </c>
      <c r="B37" t="s">
        <v>198</v>
      </c>
      <c r="C37">
        <v>21.2</v>
      </c>
      <c r="D37">
        <v>3</v>
      </c>
      <c r="E37" t="s">
        <v>138</v>
      </c>
      <c r="F37">
        <v>18</v>
      </c>
      <c r="G37">
        <v>0</v>
      </c>
      <c r="H37" t="s">
        <v>128</v>
      </c>
      <c r="I37">
        <v>21.8</v>
      </c>
      <c r="J37">
        <v>3</v>
      </c>
      <c r="K37" s="2">
        <f t="shared" si="9"/>
        <v>20.333333333333332</v>
      </c>
      <c r="L37" s="2">
        <f t="shared" si="10"/>
        <v>0.49206349206349198</v>
      </c>
      <c r="M37" s="2">
        <f t="shared" si="8"/>
        <v>2</v>
      </c>
      <c r="N37" s="2">
        <f t="shared" si="11"/>
        <v>0.16666666666666666</v>
      </c>
      <c r="O37" s="2">
        <f t="shared" si="12"/>
        <v>0.32936507936507931</v>
      </c>
      <c r="P37" s="2">
        <v>0</v>
      </c>
      <c r="Q37" s="2">
        <f t="shared" si="13"/>
        <v>0.16468253968253965</v>
      </c>
    </row>
    <row r="38" spans="1:17" x14ac:dyDescent="0.3">
      <c r="A38" s="8" t="s">
        <v>36</v>
      </c>
      <c r="B38" t="s">
        <v>199</v>
      </c>
      <c r="C38">
        <v>16.5</v>
      </c>
      <c r="D38">
        <v>0</v>
      </c>
      <c r="E38" t="s">
        <v>101</v>
      </c>
      <c r="F38">
        <v>16.100000000000001</v>
      </c>
      <c r="G38">
        <v>0</v>
      </c>
      <c r="H38" t="s">
        <v>129</v>
      </c>
      <c r="I38">
        <v>15.5</v>
      </c>
      <c r="K38" s="2">
        <f t="shared" si="9"/>
        <v>16.033333333333335</v>
      </c>
      <c r="L38" s="2">
        <f t="shared" si="10"/>
        <v>0.28730158730158739</v>
      </c>
      <c r="M38" s="2">
        <f t="shared" si="8"/>
        <v>0</v>
      </c>
      <c r="N38" s="2">
        <f t="shared" si="11"/>
        <v>0</v>
      </c>
      <c r="O38" s="2">
        <f t="shared" si="12"/>
        <v>0.1436507936507937</v>
      </c>
      <c r="P38" s="2">
        <v>0.10505050505050503</v>
      </c>
      <c r="Q38" s="2">
        <f t="shared" si="13"/>
        <v>0.12435064935064936</v>
      </c>
    </row>
    <row r="39" spans="1:17" x14ac:dyDescent="0.3">
      <c r="A39" s="6" t="s">
        <v>37</v>
      </c>
      <c r="B39" t="s">
        <v>200</v>
      </c>
      <c r="C39">
        <v>30.2</v>
      </c>
      <c r="D39">
        <v>12</v>
      </c>
      <c r="E39" t="s">
        <v>139</v>
      </c>
      <c r="F39">
        <v>30</v>
      </c>
      <c r="G39">
        <v>12</v>
      </c>
      <c r="H39" t="s">
        <v>131</v>
      </c>
      <c r="I39">
        <v>30.4</v>
      </c>
      <c r="J39">
        <v>12</v>
      </c>
      <c r="K39" s="2">
        <f t="shared" si="9"/>
        <v>30.2</v>
      </c>
      <c r="L39" s="2">
        <f t="shared" si="10"/>
        <v>0.96190476190476182</v>
      </c>
      <c r="M39" s="2">
        <f t="shared" si="8"/>
        <v>12</v>
      </c>
      <c r="N39" s="2">
        <f t="shared" si="11"/>
        <v>1</v>
      </c>
      <c r="O39" s="2">
        <f t="shared" si="12"/>
        <v>0.98095238095238091</v>
      </c>
      <c r="P39" s="2">
        <v>0.63030303030303025</v>
      </c>
      <c r="Q39" s="2">
        <f t="shared" si="13"/>
        <v>0.80562770562770558</v>
      </c>
    </row>
    <row r="40" spans="1:17" x14ac:dyDescent="0.3">
      <c r="A40" s="8" t="s">
        <v>38</v>
      </c>
      <c r="B40" t="s">
        <v>201</v>
      </c>
      <c r="C40">
        <v>29.3</v>
      </c>
      <c r="D40">
        <v>12</v>
      </c>
      <c r="E40" t="s">
        <v>140</v>
      </c>
      <c r="F40">
        <v>29.6</v>
      </c>
      <c r="G40">
        <v>12</v>
      </c>
      <c r="H40" t="s">
        <v>132</v>
      </c>
      <c r="I40">
        <v>29.3</v>
      </c>
      <c r="J40">
        <v>12</v>
      </c>
      <c r="K40" s="2">
        <f t="shared" si="9"/>
        <v>29.400000000000002</v>
      </c>
      <c r="L40" s="2">
        <f t="shared" si="10"/>
        <v>0.92380952380952386</v>
      </c>
      <c r="M40" s="2">
        <f t="shared" si="8"/>
        <v>12</v>
      </c>
      <c r="N40" s="2">
        <f t="shared" si="11"/>
        <v>1</v>
      </c>
      <c r="O40" s="2">
        <f t="shared" si="12"/>
        <v>0.96190476190476193</v>
      </c>
      <c r="P40" s="2">
        <v>0</v>
      </c>
      <c r="Q40" s="2">
        <f t="shared" si="13"/>
        <v>0.48095238095238096</v>
      </c>
    </row>
    <row r="41" spans="1:17" x14ac:dyDescent="0.3">
      <c r="A41" s="8" t="s">
        <v>39</v>
      </c>
      <c r="B41" t="s">
        <v>202</v>
      </c>
      <c r="C41">
        <v>17.600000000000001</v>
      </c>
      <c r="D41">
        <v>0</v>
      </c>
      <c r="E41" t="s">
        <v>141</v>
      </c>
      <c r="F41">
        <v>16.600000000000001</v>
      </c>
      <c r="G41">
        <v>0</v>
      </c>
      <c r="H41" t="s">
        <v>133</v>
      </c>
      <c r="I41">
        <v>18</v>
      </c>
      <c r="J41">
        <v>0</v>
      </c>
      <c r="K41" s="2">
        <f t="shared" si="9"/>
        <v>17.400000000000002</v>
      </c>
      <c r="L41" s="2">
        <f t="shared" si="10"/>
        <v>0.35238095238095246</v>
      </c>
      <c r="M41" s="2">
        <f t="shared" si="8"/>
        <v>0</v>
      </c>
      <c r="N41" s="2">
        <f t="shared" si="11"/>
        <v>0</v>
      </c>
      <c r="O41" s="2">
        <f t="shared" si="12"/>
        <v>0.17619047619047623</v>
      </c>
      <c r="P41" s="2">
        <v>0</v>
      </c>
      <c r="Q41" s="2">
        <f t="shared" si="13"/>
        <v>8.8095238095238115E-2</v>
      </c>
    </row>
    <row r="42" spans="1:17" x14ac:dyDescent="0.3">
      <c r="A42" s="6" t="s">
        <v>40</v>
      </c>
      <c r="B42" t="s">
        <v>203</v>
      </c>
      <c r="C42">
        <v>26.8</v>
      </c>
      <c r="D42">
        <v>5</v>
      </c>
      <c r="E42" t="s">
        <v>142</v>
      </c>
      <c r="F42">
        <v>26.9</v>
      </c>
      <c r="G42">
        <v>5</v>
      </c>
      <c r="H42" t="s">
        <v>134</v>
      </c>
      <c r="I42">
        <v>26.9</v>
      </c>
      <c r="J42">
        <v>5</v>
      </c>
      <c r="K42" s="2">
        <f t="shared" si="9"/>
        <v>26.866666666666664</v>
      </c>
      <c r="L42" s="2">
        <f t="shared" si="10"/>
        <v>0.80317460317460299</v>
      </c>
      <c r="M42" s="2">
        <f t="shared" si="8"/>
        <v>5</v>
      </c>
      <c r="N42" s="2">
        <f t="shared" si="11"/>
        <v>0.41666666666666669</v>
      </c>
      <c r="O42" s="2">
        <f t="shared" si="12"/>
        <v>0.60992063492063486</v>
      </c>
      <c r="P42" s="2">
        <v>0</v>
      </c>
      <c r="Q42" s="2">
        <f t="shared" si="13"/>
        <v>0.30496031746031743</v>
      </c>
    </row>
    <row r="43" spans="1:17" x14ac:dyDescent="0.3">
      <c r="A43" s="6" t="s">
        <v>41</v>
      </c>
      <c r="B43" t="s">
        <v>60</v>
      </c>
      <c r="C43">
        <v>0</v>
      </c>
      <c r="D43">
        <v>0</v>
      </c>
      <c r="E43" t="s">
        <v>60</v>
      </c>
      <c r="F43">
        <v>0</v>
      </c>
      <c r="G43">
        <v>0</v>
      </c>
      <c r="H43" t="s">
        <v>60</v>
      </c>
      <c r="I43">
        <v>0</v>
      </c>
      <c r="J43">
        <v>0</v>
      </c>
      <c r="K43" s="2">
        <v>0</v>
      </c>
      <c r="L43" s="2">
        <f t="shared" si="10"/>
        <v>0</v>
      </c>
      <c r="M43" s="2">
        <f t="shared" si="8"/>
        <v>0</v>
      </c>
      <c r="N43" s="2">
        <f t="shared" si="11"/>
        <v>0</v>
      </c>
      <c r="O43" s="2">
        <f t="shared" si="12"/>
        <v>0</v>
      </c>
      <c r="P43" s="2">
        <v>0</v>
      </c>
      <c r="Q43" s="2">
        <f t="shared" si="13"/>
        <v>0</v>
      </c>
    </row>
    <row r="44" spans="1:17" x14ac:dyDescent="0.3">
      <c r="A44" s="6" t="s">
        <v>42</v>
      </c>
      <c r="B44" t="s">
        <v>204</v>
      </c>
      <c r="C44">
        <v>28</v>
      </c>
      <c r="D44">
        <v>8</v>
      </c>
      <c r="E44" t="s">
        <v>143</v>
      </c>
      <c r="F44">
        <v>28.7</v>
      </c>
      <c r="G44">
        <v>8</v>
      </c>
      <c r="H44" t="s">
        <v>135</v>
      </c>
      <c r="I44">
        <v>28.5</v>
      </c>
      <c r="J44">
        <v>8</v>
      </c>
      <c r="K44" s="2">
        <f>AVERAGE(C44,F44,I44)</f>
        <v>28.400000000000002</v>
      </c>
      <c r="L44" s="2">
        <f t="shared" si="10"/>
        <v>0.8761904761904763</v>
      </c>
      <c r="M44" s="2">
        <f t="shared" si="8"/>
        <v>8</v>
      </c>
      <c r="N44" s="2">
        <f t="shared" si="11"/>
        <v>0.66666666666666663</v>
      </c>
      <c r="O44" s="2">
        <f t="shared" si="12"/>
        <v>0.77142857142857146</v>
      </c>
      <c r="P44" s="2">
        <v>0</v>
      </c>
      <c r="Q44" s="2">
        <f t="shared" si="13"/>
        <v>0.38571428571428573</v>
      </c>
    </row>
    <row r="45" spans="1:17" x14ac:dyDescent="0.3">
      <c r="A45" s="6" t="s">
        <v>43</v>
      </c>
      <c r="B45" t="s">
        <v>205</v>
      </c>
      <c r="C45">
        <v>29.7</v>
      </c>
      <c r="D45">
        <v>12</v>
      </c>
      <c r="E45" t="s">
        <v>144</v>
      </c>
      <c r="F45">
        <v>29.7</v>
      </c>
      <c r="G45">
        <v>12</v>
      </c>
      <c r="H45" t="s">
        <v>136</v>
      </c>
      <c r="I45">
        <v>29.9</v>
      </c>
      <c r="J45">
        <v>12</v>
      </c>
      <c r="K45" s="2">
        <f>AVERAGE(C45,F45,I45)</f>
        <v>29.766666666666666</v>
      </c>
      <c r="L45" s="2">
        <f t="shared" si="10"/>
        <v>0.94126984126984126</v>
      </c>
      <c r="M45" s="2">
        <f t="shared" si="8"/>
        <v>12</v>
      </c>
      <c r="N45" s="2">
        <f t="shared" si="11"/>
        <v>1</v>
      </c>
      <c r="O45" s="2">
        <f t="shared" si="12"/>
        <v>0.97063492063492063</v>
      </c>
      <c r="P45" s="2">
        <v>0.21010101010101007</v>
      </c>
      <c r="Q45" s="2">
        <f t="shared" si="13"/>
        <v>0.59036796536796532</v>
      </c>
    </row>
    <row r="46" spans="1:17" x14ac:dyDescent="0.3">
      <c r="A46" s="8" t="s">
        <v>44</v>
      </c>
      <c r="B46" t="s">
        <v>206</v>
      </c>
      <c r="C46">
        <v>21.3</v>
      </c>
      <c r="D46">
        <v>3</v>
      </c>
      <c r="E46" t="s">
        <v>145</v>
      </c>
      <c r="F46">
        <v>21.5</v>
      </c>
      <c r="G46">
        <v>3</v>
      </c>
      <c r="H46" t="s">
        <v>137</v>
      </c>
      <c r="I46">
        <v>21.1</v>
      </c>
      <c r="J46">
        <v>3</v>
      </c>
      <c r="K46" s="2">
        <f>AVERAGE(C46,F46,I46)</f>
        <v>21.3</v>
      </c>
      <c r="L46" s="2">
        <f t="shared" si="10"/>
        <v>0.53809523809523818</v>
      </c>
      <c r="M46" s="2">
        <f t="shared" si="8"/>
        <v>3</v>
      </c>
      <c r="N46" s="2">
        <f t="shared" si="11"/>
        <v>0.25</v>
      </c>
      <c r="O46" s="2">
        <f t="shared" si="12"/>
        <v>0.39404761904761909</v>
      </c>
      <c r="P46" s="2">
        <v>0.42020202020202013</v>
      </c>
      <c r="Q46" s="2">
        <f t="shared" si="13"/>
        <v>0.40712481962481961</v>
      </c>
    </row>
    <row r="47" spans="1:17" x14ac:dyDescent="0.3">
      <c r="A47" s="6" t="s">
        <v>45</v>
      </c>
      <c r="B47" t="s">
        <v>60</v>
      </c>
      <c r="C47">
        <v>0</v>
      </c>
      <c r="D47">
        <v>0</v>
      </c>
      <c r="E47" t="s">
        <v>60</v>
      </c>
      <c r="F47">
        <v>0</v>
      </c>
      <c r="G47">
        <v>0</v>
      </c>
      <c r="H47" t="s">
        <v>60</v>
      </c>
      <c r="I47">
        <v>0</v>
      </c>
      <c r="J47">
        <v>0</v>
      </c>
      <c r="K47" s="2">
        <v>0</v>
      </c>
      <c r="L47" s="2">
        <f t="shared" si="10"/>
        <v>0</v>
      </c>
      <c r="M47" s="2">
        <f t="shared" si="8"/>
        <v>0</v>
      </c>
      <c r="N47" s="2">
        <f t="shared" si="11"/>
        <v>0</v>
      </c>
      <c r="O47" s="2">
        <f t="shared" si="12"/>
        <v>0</v>
      </c>
      <c r="P47" s="2">
        <v>0</v>
      </c>
      <c r="Q47" s="2">
        <f t="shared" si="13"/>
        <v>0</v>
      </c>
    </row>
    <row r="48" spans="1:17" x14ac:dyDescent="0.3">
      <c r="A48" s="8" t="s">
        <v>46</v>
      </c>
      <c r="B48" s="3" t="s">
        <v>207</v>
      </c>
      <c r="C48">
        <v>29.6</v>
      </c>
      <c r="D48">
        <v>12</v>
      </c>
      <c r="E48" t="s">
        <v>146</v>
      </c>
      <c r="F48">
        <v>29.2</v>
      </c>
      <c r="G48">
        <v>12</v>
      </c>
      <c r="H48" t="s">
        <v>147</v>
      </c>
      <c r="I48">
        <v>29.1</v>
      </c>
      <c r="J48">
        <v>12</v>
      </c>
      <c r="K48" s="2">
        <f>AVERAGE(C48,F48,I48)</f>
        <v>29.3</v>
      </c>
      <c r="L48" s="2">
        <f t="shared" si="10"/>
        <v>0.91904761904761911</v>
      </c>
      <c r="M48" s="2">
        <f t="shared" si="8"/>
        <v>12</v>
      </c>
      <c r="N48" s="2">
        <f t="shared" si="11"/>
        <v>1</v>
      </c>
      <c r="O48" s="2">
        <f t="shared" si="12"/>
        <v>0.95952380952380956</v>
      </c>
      <c r="P48" s="2">
        <v>0.10505050505050503</v>
      </c>
      <c r="Q48" s="2">
        <f t="shared" si="13"/>
        <v>0.53228715728715725</v>
      </c>
    </row>
    <row r="49" spans="1:17" x14ac:dyDescent="0.3">
      <c r="A49" s="8" t="s">
        <v>47</v>
      </c>
      <c r="B49" t="s">
        <v>208</v>
      </c>
      <c r="C49">
        <v>17.5</v>
      </c>
      <c r="D49">
        <v>0</v>
      </c>
      <c r="E49" t="s">
        <v>148</v>
      </c>
      <c r="F49">
        <v>16.3</v>
      </c>
      <c r="G49">
        <v>0</v>
      </c>
      <c r="H49" t="s">
        <v>149</v>
      </c>
      <c r="I49">
        <v>17.7</v>
      </c>
      <c r="J49">
        <v>0</v>
      </c>
      <c r="K49" s="2">
        <f>AVERAGE(C49,F49,I49)</f>
        <v>17.166666666666668</v>
      </c>
      <c r="L49" s="2">
        <f t="shared" si="10"/>
        <v>0.34126984126984133</v>
      </c>
      <c r="M49" s="2">
        <f t="shared" si="8"/>
        <v>0</v>
      </c>
      <c r="N49" s="2">
        <f t="shared" si="11"/>
        <v>0</v>
      </c>
      <c r="O49" s="2">
        <f t="shared" si="12"/>
        <v>0.17063492063492067</v>
      </c>
      <c r="P49" s="2">
        <v>0</v>
      </c>
      <c r="Q49" s="2">
        <f t="shared" si="13"/>
        <v>8.5317460317460334E-2</v>
      </c>
    </row>
    <row r="50" spans="1:17" x14ac:dyDescent="0.3">
      <c r="A50" s="8" t="s">
        <v>48</v>
      </c>
      <c r="B50" t="s">
        <v>150</v>
      </c>
      <c r="C50">
        <v>26.7</v>
      </c>
      <c r="D50">
        <v>5</v>
      </c>
      <c r="E50" t="s">
        <v>151</v>
      </c>
      <c r="F50">
        <v>27.4</v>
      </c>
      <c r="G50">
        <v>5</v>
      </c>
      <c r="H50" t="s">
        <v>152</v>
      </c>
      <c r="I50">
        <v>28</v>
      </c>
      <c r="J50">
        <v>6</v>
      </c>
      <c r="K50" s="2">
        <f>AVERAGE(C50,F50,I50)</f>
        <v>27.366666666666664</v>
      </c>
      <c r="L50" s="2">
        <f t="shared" si="10"/>
        <v>0.82698412698412682</v>
      </c>
      <c r="M50" s="2">
        <f t="shared" si="8"/>
        <v>5.333333333333333</v>
      </c>
      <c r="N50" s="2">
        <f t="shared" si="11"/>
        <v>0.44444444444444442</v>
      </c>
      <c r="O50" s="2">
        <f t="shared" si="12"/>
        <v>0.63571428571428568</v>
      </c>
      <c r="P50" s="2">
        <v>0</v>
      </c>
      <c r="Q50" s="2">
        <f t="shared" si="13"/>
        <v>0.31785714285714284</v>
      </c>
    </row>
    <row r="51" spans="1:17" x14ac:dyDescent="0.3">
      <c r="A51" s="8" t="s">
        <v>49</v>
      </c>
      <c r="B51" t="s">
        <v>66</v>
      </c>
      <c r="C51">
        <v>28.6</v>
      </c>
      <c r="D51">
        <v>5</v>
      </c>
      <c r="E51" t="s">
        <v>60</v>
      </c>
      <c r="F51">
        <v>0</v>
      </c>
      <c r="G51">
        <v>0</v>
      </c>
      <c r="H51" t="s">
        <v>60</v>
      </c>
      <c r="I51">
        <v>0</v>
      </c>
      <c r="J51">
        <v>0</v>
      </c>
      <c r="K51" s="2">
        <f>AVERAGE(C51)</f>
        <v>28.6</v>
      </c>
      <c r="L51" s="2">
        <f t="shared" si="10"/>
        <v>0.88571428571428579</v>
      </c>
      <c r="M51" s="2">
        <f>AVERAGE(D51,)</f>
        <v>2.5</v>
      </c>
      <c r="N51" s="2">
        <f t="shared" si="11"/>
        <v>0.20833333333333334</v>
      </c>
      <c r="O51" s="2">
        <f t="shared" si="12"/>
        <v>0.54702380952380958</v>
      </c>
      <c r="P51" s="2">
        <v>0</v>
      </c>
      <c r="Q51" s="2">
        <f t="shared" si="13"/>
        <v>0.27351190476190479</v>
      </c>
    </row>
    <row r="52" spans="1:17" x14ac:dyDescent="0.3">
      <c r="A52" s="8" t="s">
        <v>50</v>
      </c>
      <c r="B52" t="s">
        <v>60</v>
      </c>
      <c r="C52">
        <v>0</v>
      </c>
      <c r="D52">
        <v>0</v>
      </c>
      <c r="E52" t="s">
        <v>60</v>
      </c>
      <c r="F52">
        <v>0</v>
      </c>
      <c r="G52">
        <v>0</v>
      </c>
      <c r="H52" t="s">
        <v>60</v>
      </c>
      <c r="I52">
        <v>0</v>
      </c>
      <c r="J52">
        <v>0</v>
      </c>
      <c r="K52" s="2">
        <v>0</v>
      </c>
      <c r="L52" s="2">
        <f t="shared" si="10"/>
        <v>0</v>
      </c>
      <c r="M52" s="2">
        <f t="shared" ref="M52:M61" si="14">AVERAGE(D52,G52,J52)</f>
        <v>0</v>
      </c>
      <c r="N52" s="2">
        <f t="shared" si="11"/>
        <v>0</v>
      </c>
      <c r="O52" s="2">
        <f t="shared" si="12"/>
        <v>0</v>
      </c>
      <c r="P52" s="2">
        <v>0</v>
      </c>
      <c r="Q52" s="2">
        <f t="shared" si="13"/>
        <v>0</v>
      </c>
    </row>
    <row r="53" spans="1:17" x14ac:dyDescent="0.3">
      <c r="A53" s="6" t="s">
        <v>51</v>
      </c>
      <c r="B53" t="s">
        <v>209</v>
      </c>
      <c r="C53">
        <v>30</v>
      </c>
      <c r="D53">
        <v>12</v>
      </c>
      <c r="E53" t="s">
        <v>153</v>
      </c>
      <c r="F53">
        <v>30.2</v>
      </c>
      <c r="G53">
        <v>12</v>
      </c>
      <c r="H53" t="s">
        <v>154</v>
      </c>
      <c r="I53">
        <v>30</v>
      </c>
      <c r="J53">
        <v>12</v>
      </c>
      <c r="K53" s="2">
        <f t="shared" ref="K53:K61" si="15">AVERAGE(C53,F53,I53)</f>
        <v>30.066666666666666</v>
      </c>
      <c r="L53" s="2">
        <f t="shared" si="10"/>
        <v>0.95555555555555549</v>
      </c>
      <c r="M53" s="2">
        <f t="shared" si="14"/>
        <v>12</v>
      </c>
      <c r="N53" s="2">
        <f t="shared" si="11"/>
        <v>1</v>
      </c>
      <c r="O53" s="2">
        <f t="shared" si="12"/>
        <v>0.97777777777777775</v>
      </c>
      <c r="P53" s="2">
        <v>0.21010101010101007</v>
      </c>
      <c r="Q53" s="2">
        <f t="shared" si="13"/>
        <v>0.59393939393939388</v>
      </c>
    </row>
    <row r="54" spans="1:17" x14ac:dyDescent="0.3">
      <c r="A54" s="6" t="s">
        <v>52</v>
      </c>
      <c r="B54" t="s">
        <v>210</v>
      </c>
      <c r="C54">
        <v>30.1</v>
      </c>
      <c r="D54">
        <v>12</v>
      </c>
      <c r="E54" t="s">
        <v>155</v>
      </c>
      <c r="F54">
        <v>30.1</v>
      </c>
      <c r="G54">
        <v>12</v>
      </c>
      <c r="H54" t="s">
        <v>156</v>
      </c>
      <c r="I54">
        <v>30.1</v>
      </c>
      <c r="J54">
        <v>12</v>
      </c>
      <c r="K54" s="2">
        <f t="shared" si="15"/>
        <v>30.100000000000005</v>
      </c>
      <c r="L54" s="2">
        <f t="shared" si="10"/>
        <v>0.95714285714285741</v>
      </c>
      <c r="M54" s="2">
        <f t="shared" si="14"/>
        <v>12</v>
      </c>
      <c r="N54" s="2">
        <f t="shared" si="11"/>
        <v>1</v>
      </c>
      <c r="O54" s="2">
        <f t="shared" si="12"/>
        <v>0.97857142857142865</v>
      </c>
      <c r="P54" s="2">
        <v>0</v>
      </c>
      <c r="Q54" s="2">
        <f t="shared" si="13"/>
        <v>0.48928571428571432</v>
      </c>
    </row>
    <row r="55" spans="1:17" x14ac:dyDescent="0.3">
      <c r="A55" s="8" t="s">
        <v>53</v>
      </c>
      <c r="B55" t="s">
        <v>211</v>
      </c>
      <c r="C55">
        <v>25.9</v>
      </c>
      <c r="D55">
        <v>4</v>
      </c>
      <c r="E55" t="s">
        <v>157</v>
      </c>
      <c r="F55">
        <v>26</v>
      </c>
      <c r="G55">
        <v>4</v>
      </c>
      <c r="H55" t="s">
        <v>158</v>
      </c>
      <c r="I55">
        <v>25.7</v>
      </c>
      <c r="J55">
        <v>4</v>
      </c>
      <c r="K55" s="2">
        <f t="shared" si="15"/>
        <v>25.866666666666664</v>
      </c>
      <c r="L55" s="2">
        <f t="shared" si="10"/>
        <v>0.75555555555555542</v>
      </c>
      <c r="M55" s="2">
        <f t="shared" si="14"/>
        <v>4</v>
      </c>
      <c r="N55" s="2">
        <f t="shared" si="11"/>
        <v>0.33333333333333331</v>
      </c>
      <c r="O55" s="2">
        <f t="shared" si="12"/>
        <v>0.5444444444444444</v>
      </c>
      <c r="P55" s="2">
        <v>0</v>
      </c>
      <c r="Q55" s="2">
        <f t="shared" si="13"/>
        <v>0.2722222222222222</v>
      </c>
    </row>
    <row r="56" spans="1:17" x14ac:dyDescent="0.3">
      <c r="A56" s="6" t="s">
        <v>54</v>
      </c>
      <c r="B56" t="s">
        <v>212</v>
      </c>
      <c r="C56">
        <v>21.1</v>
      </c>
      <c r="D56">
        <v>3</v>
      </c>
      <c r="E56" t="s">
        <v>159</v>
      </c>
      <c r="F56">
        <v>25.5</v>
      </c>
      <c r="G56">
        <v>12</v>
      </c>
      <c r="H56" t="s">
        <v>160</v>
      </c>
      <c r="I56">
        <v>20.9</v>
      </c>
      <c r="J56">
        <v>2</v>
      </c>
      <c r="K56" s="2">
        <f t="shared" si="15"/>
        <v>22.5</v>
      </c>
      <c r="L56" s="2">
        <f t="shared" si="10"/>
        <v>0.59523809523809523</v>
      </c>
      <c r="M56" s="2">
        <f t="shared" si="14"/>
        <v>5.666666666666667</v>
      </c>
      <c r="N56" s="2">
        <f t="shared" si="11"/>
        <v>0.47222222222222227</v>
      </c>
      <c r="O56" s="2">
        <f t="shared" si="12"/>
        <v>0.53373015873015872</v>
      </c>
      <c r="P56" s="2">
        <v>0</v>
      </c>
      <c r="Q56" s="2">
        <f t="shared" si="13"/>
        <v>0.26686507936507936</v>
      </c>
    </row>
    <row r="57" spans="1:17" x14ac:dyDescent="0.3">
      <c r="A57" s="6" t="s">
        <v>55</v>
      </c>
      <c r="B57" t="s">
        <v>213</v>
      </c>
      <c r="C57">
        <v>29.3</v>
      </c>
      <c r="D57">
        <v>12</v>
      </c>
      <c r="E57" t="s">
        <v>161</v>
      </c>
      <c r="F57">
        <v>29.1</v>
      </c>
      <c r="G57">
        <v>12</v>
      </c>
      <c r="H57" t="s">
        <v>162</v>
      </c>
      <c r="I57">
        <v>29.2</v>
      </c>
      <c r="J57">
        <v>12</v>
      </c>
      <c r="K57" s="2">
        <f t="shared" si="15"/>
        <v>29.200000000000003</v>
      </c>
      <c r="L57" s="2">
        <f t="shared" si="10"/>
        <v>0.91428571428571437</v>
      </c>
      <c r="M57" s="2">
        <f t="shared" si="14"/>
        <v>12</v>
      </c>
      <c r="N57" s="2">
        <f t="shared" si="11"/>
        <v>1</v>
      </c>
      <c r="O57" s="2">
        <f t="shared" si="12"/>
        <v>0.95714285714285718</v>
      </c>
      <c r="P57" s="2">
        <v>0</v>
      </c>
      <c r="Q57" s="2">
        <f t="shared" si="13"/>
        <v>0.47857142857142859</v>
      </c>
    </row>
    <row r="58" spans="1:17" x14ac:dyDescent="0.3">
      <c r="A58" s="8" t="s">
        <v>56</v>
      </c>
      <c r="B58" t="s">
        <v>214</v>
      </c>
      <c r="C58">
        <v>28.9</v>
      </c>
      <c r="D58">
        <v>12</v>
      </c>
      <c r="E58" t="s">
        <v>163</v>
      </c>
      <c r="F58">
        <v>28.9</v>
      </c>
      <c r="G58">
        <v>12</v>
      </c>
      <c r="H58" t="s">
        <v>219</v>
      </c>
      <c r="I58">
        <v>29.1</v>
      </c>
      <c r="J58">
        <v>12</v>
      </c>
      <c r="K58" s="2">
        <f t="shared" si="15"/>
        <v>28.966666666666669</v>
      </c>
      <c r="L58" s="2">
        <f t="shared" si="10"/>
        <v>0.9031746031746033</v>
      </c>
      <c r="M58" s="2">
        <f t="shared" si="14"/>
        <v>12</v>
      </c>
      <c r="N58" s="2">
        <f t="shared" si="11"/>
        <v>1</v>
      </c>
      <c r="O58" s="2">
        <f t="shared" si="12"/>
        <v>0.95158730158730165</v>
      </c>
      <c r="P58" s="2">
        <v>0.10505050505050503</v>
      </c>
      <c r="Q58" s="2">
        <f t="shared" si="13"/>
        <v>0.5283189033189033</v>
      </c>
    </row>
    <row r="59" spans="1:17" x14ac:dyDescent="0.3">
      <c r="A59" s="8" t="s">
        <v>57</v>
      </c>
      <c r="B59" t="s">
        <v>215</v>
      </c>
      <c r="C59">
        <v>30</v>
      </c>
      <c r="D59">
        <v>12</v>
      </c>
      <c r="E59" t="s">
        <v>164</v>
      </c>
      <c r="F59">
        <v>30</v>
      </c>
      <c r="G59">
        <v>12</v>
      </c>
      <c r="H59" t="s">
        <v>114</v>
      </c>
      <c r="I59">
        <v>30</v>
      </c>
      <c r="J59">
        <v>12</v>
      </c>
      <c r="K59" s="2">
        <f t="shared" si="15"/>
        <v>30</v>
      </c>
      <c r="L59" s="2">
        <f t="shared" si="10"/>
        <v>0.95238095238095233</v>
      </c>
      <c r="M59" s="2">
        <f t="shared" si="14"/>
        <v>12</v>
      </c>
      <c r="N59" s="2">
        <f t="shared" si="11"/>
        <v>1</v>
      </c>
      <c r="O59" s="2">
        <f t="shared" si="12"/>
        <v>0.97619047619047616</v>
      </c>
      <c r="P59" s="2">
        <v>0.23737373737373735</v>
      </c>
      <c r="Q59" s="2">
        <f t="shared" si="13"/>
        <v>0.60678210678210676</v>
      </c>
    </row>
    <row r="60" spans="1:17" x14ac:dyDescent="0.3">
      <c r="A60" s="8" t="s">
        <v>58</v>
      </c>
      <c r="B60" t="s">
        <v>216</v>
      </c>
      <c r="C60">
        <v>27.2</v>
      </c>
      <c r="D60">
        <v>6</v>
      </c>
      <c r="E60" t="s">
        <v>165</v>
      </c>
      <c r="F60">
        <v>27.2</v>
      </c>
      <c r="G60">
        <v>6</v>
      </c>
      <c r="H60" t="s">
        <v>166</v>
      </c>
      <c r="I60">
        <v>27.2</v>
      </c>
      <c r="J60">
        <v>6</v>
      </c>
      <c r="K60" s="2">
        <f t="shared" si="15"/>
        <v>27.2</v>
      </c>
      <c r="L60" s="2">
        <f t="shared" si="10"/>
        <v>0.81904761904761902</v>
      </c>
      <c r="M60" s="2">
        <f t="shared" si="14"/>
        <v>6</v>
      </c>
      <c r="N60" s="2">
        <f t="shared" si="11"/>
        <v>0.5</v>
      </c>
      <c r="O60" s="2">
        <f t="shared" si="12"/>
        <v>0.65952380952380951</v>
      </c>
      <c r="P60" s="2">
        <v>0</v>
      </c>
      <c r="Q60" s="2">
        <f t="shared" si="13"/>
        <v>0.32976190476190476</v>
      </c>
    </row>
    <row r="61" spans="1:17" x14ac:dyDescent="0.3">
      <c r="A61" s="8" t="s">
        <v>59</v>
      </c>
      <c r="B61" t="s">
        <v>217</v>
      </c>
      <c r="C61">
        <v>25</v>
      </c>
      <c r="D61">
        <v>5</v>
      </c>
      <c r="E61" t="s">
        <v>167</v>
      </c>
      <c r="F61">
        <v>25.2</v>
      </c>
      <c r="G61">
        <v>5</v>
      </c>
      <c r="H61" t="s">
        <v>168</v>
      </c>
      <c r="I61">
        <v>25.9</v>
      </c>
      <c r="J61">
        <v>5</v>
      </c>
      <c r="K61" s="2">
        <f t="shared" si="15"/>
        <v>25.366666666666664</v>
      </c>
      <c r="L61" s="2">
        <f t="shared" si="10"/>
        <v>0.73174603174603159</v>
      </c>
      <c r="M61" s="2">
        <f t="shared" si="14"/>
        <v>5</v>
      </c>
      <c r="N61" s="2">
        <f t="shared" si="11"/>
        <v>0.41666666666666669</v>
      </c>
      <c r="O61" s="2">
        <f t="shared" si="12"/>
        <v>0.57420634920634916</v>
      </c>
      <c r="P61" s="2">
        <v>0.10505050505050503</v>
      </c>
      <c r="Q61" s="2">
        <f t="shared" si="13"/>
        <v>0.33962842712842711</v>
      </c>
    </row>
  </sheetData>
  <pageMargins left="0.7" right="0.7" top="0.75" bottom="0.75" header="0.3" footer="0.3"/>
  <ignoredErrors>
    <ignoredError sqref="K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375B-DB66-4E78-8C6B-4AFFE8B7F111}">
  <dimension ref="A1:AA138"/>
  <sheetViews>
    <sheetView topLeftCell="A22" workbookViewId="0">
      <selection activeCell="J1" sqref="J1:O61"/>
    </sheetView>
  </sheetViews>
  <sheetFormatPr defaultRowHeight="14.4" x14ac:dyDescent="0.3"/>
  <cols>
    <col min="1" max="1" width="19.88671875" bestFit="1" customWidth="1"/>
    <col min="2" max="2" width="19.88671875" hidden="1" customWidth="1"/>
    <col min="3" max="3" width="26.33203125" customWidth="1"/>
    <col min="4" max="4" width="9.88671875" customWidth="1"/>
    <col min="5" max="5" width="10.44140625" customWidth="1"/>
    <col min="6" max="6" width="4.88671875" customWidth="1"/>
    <col min="7" max="7" width="9.33203125" customWidth="1"/>
    <col min="8" max="8" width="6.77734375" customWidth="1"/>
    <col min="10" max="10" width="19.5546875" customWidth="1"/>
    <col min="11" max="12" width="5.6640625" customWidth="1"/>
    <col min="13" max="13" width="9.5546875" bestFit="1" customWidth="1"/>
    <col min="14" max="14" width="8.33203125" customWidth="1"/>
    <col min="15" max="15" width="8.6640625" customWidth="1"/>
    <col min="20" max="20" width="17.44140625" customWidth="1"/>
    <col min="21" max="21" width="14.109375" hidden="1" customWidth="1"/>
    <col min="22" max="22" width="19.5546875" customWidth="1"/>
    <col min="23" max="23" width="9.77734375" customWidth="1"/>
    <col min="24" max="24" width="10" customWidth="1"/>
    <col min="25" max="25" width="5" customWidth="1"/>
    <col min="26" max="26" width="9.21875" customWidth="1"/>
    <col min="27" max="27" width="5.88671875" customWidth="1"/>
  </cols>
  <sheetData>
    <row r="1" spans="1:27" x14ac:dyDescent="0.3">
      <c r="A1" s="20" t="s">
        <v>67</v>
      </c>
      <c r="B1" s="10" t="s">
        <v>339</v>
      </c>
      <c r="C1" s="10" t="s">
        <v>223</v>
      </c>
      <c r="D1" s="21" t="s">
        <v>224</v>
      </c>
      <c r="E1" s="21" t="s">
        <v>225</v>
      </c>
      <c r="F1" s="21" t="s">
        <v>226</v>
      </c>
      <c r="G1" s="21" t="s">
        <v>227</v>
      </c>
      <c r="H1" s="22" t="s">
        <v>228</v>
      </c>
      <c r="J1" s="10" t="s">
        <v>67</v>
      </c>
      <c r="K1" s="23" t="s">
        <v>337</v>
      </c>
      <c r="L1" s="23" t="s">
        <v>338</v>
      </c>
      <c r="M1" s="23" t="s">
        <v>347</v>
      </c>
      <c r="N1" s="10" t="s">
        <v>346</v>
      </c>
      <c r="O1" s="10" t="s">
        <v>348</v>
      </c>
      <c r="T1" s="20" t="s">
        <v>67</v>
      </c>
      <c r="U1" s="10" t="s">
        <v>339</v>
      </c>
      <c r="V1" s="10" t="s">
        <v>223</v>
      </c>
      <c r="W1" s="21" t="s">
        <v>224</v>
      </c>
      <c r="X1" s="21" t="s">
        <v>225</v>
      </c>
      <c r="Y1" s="21" t="s">
        <v>226</v>
      </c>
      <c r="Z1" s="21" t="s">
        <v>227</v>
      </c>
      <c r="AA1" s="22" t="s">
        <v>228</v>
      </c>
    </row>
    <row r="2" spans="1:27" x14ac:dyDescent="0.3">
      <c r="A2" s="87" t="s">
        <v>0</v>
      </c>
      <c r="B2" s="12" t="s">
        <v>0</v>
      </c>
      <c r="C2" s="11" t="s">
        <v>245</v>
      </c>
      <c r="D2" s="11">
        <v>1</v>
      </c>
      <c r="E2" s="11"/>
      <c r="F2" s="11"/>
      <c r="G2" s="11"/>
      <c r="H2" s="19">
        <f>SUM(D2:G2)</f>
        <v>1</v>
      </c>
      <c r="J2" s="14" t="s">
        <v>0</v>
      </c>
      <c r="K2" s="11">
        <f>SUMIF(B:B, J2, H:H)</f>
        <v>4</v>
      </c>
      <c r="L2" s="11">
        <f>COUNTIF(B:B, J2)</f>
        <v>4</v>
      </c>
      <c r="M2" s="34">
        <f>0.3*(K2/MAX($K$2:$K$61))+0.7*(L2/MAX($L$2:$L$61))</f>
        <v>0.42020202020202013</v>
      </c>
      <c r="N2" s="27">
        <v>0.52103174603174607</v>
      </c>
      <c r="O2" s="35">
        <v>0.4706168831168831</v>
      </c>
      <c r="T2" s="87" t="s">
        <v>0</v>
      </c>
      <c r="U2" s="12" t="s">
        <v>0</v>
      </c>
      <c r="V2" s="11" t="s">
        <v>245</v>
      </c>
      <c r="W2" s="11">
        <v>1</v>
      </c>
      <c r="X2" s="11"/>
      <c r="Y2" s="11"/>
      <c r="Z2" s="11"/>
      <c r="AA2" s="19">
        <f>SUM(W2:Z2)</f>
        <v>1</v>
      </c>
    </row>
    <row r="3" spans="1:27" x14ac:dyDescent="0.3">
      <c r="A3" s="87"/>
      <c r="B3" s="12" t="s">
        <v>0</v>
      </c>
      <c r="C3" s="11" t="s">
        <v>271</v>
      </c>
      <c r="D3" s="11"/>
      <c r="E3" s="11"/>
      <c r="F3" s="11">
        <v>1</v>
      </c>
      <c r="G3" s="11"/>
      <c r="H3" s="19">
        <f t="shared" ref="H3:H66" si="0">SUM(D3:G3)</f>
        <v>1</v>
      </c>
      <c r="J3" s="14" t="s">
        <v>1</v>
      </c>
      <c r="K3" s="11">
        <f t="shared" ref="K3:K61" si="1">SUMIF(B:B, J3, H:H)</f>
        <v>5</v>
      </c>
      <c r="L3" s="11">
        <f t="shared" ref="L3:L61" si="2">COUNTIF(B:B, J3)</f>
        <v>5</v>
      </c>
      <c r="M3" s="34">
        <f t="shared" ref="M3:M61" si="3">0.3*(K3/MAX($K$2:$K$61))+0.7*(L3/MAX($L$2:$L$61))</f>
        <v>0.5252525252525253</v>
      </c>
      <c r="N3" s="27">
        <v>0.4988095238095237</v>
      </c>
      <c r="O3" s="35">
        <v>0.51203102453102445</v>
      </c>
      <c r="T3" s="87"/>
      <c r="U3" s="12" t="s">
        <v>0</v>
      </c>
      <c r="V3" s="11" t="s">
        <v>271</v>
      </c>
      <c r="W3" s="11"/>
      <c r="X3" s="11"/>
      <c r="Y3" s="11">
        <v>1</v>
      </c>
      <c r="Z3" s="11"/>
      <c r="AA3" s="19">
        <f t="shared" ref="AA3:AA24" si="4">SUM(W3:Z3)</f>
        <v>1</v>
      </c>
    </row>
    <row r="4" spans="1:27" x14ac:dyDescent="0.3">
      <c r="A4" s="87"/>
      <c r="B4" s="12" t="s">
        <v>0</v>
      </c>
      <c r="C4" s="11" t="s">
        <v>288</v>
      </c>
      <c r="D4" s="11"/>
      <c r="E4" s="11"/>
      <c r="F4" s="11">
        <v>1</v>
      </c>
      <c r="G4" s="11"/>
      <c r="H4" s="19">
        <f t="shared" si="0"/>
        <v>1</v>
      </c>
      <c r="J4" s="14" t="s">
        <v>2</v>
      </c>
      <c r="K4" s="11">
        <f t="shared" si="1"/>
        <v>6</v>
      </c>
      <c r="L4" s="11">
        <f t="shared" si="2"/>
        <v>6</v>
      </c>
      <c r="M4" s="34">
        <f t="shared" si="3"/>
        <v>0.63030303030303025</v>
      </c>
      <c r="N4" s="27">
        <v>0.76269841269841265</v>
      </c>
      <c r="O4" s="35">
        <v>0.69650072150072151</v>
      </c>
      <c r="T4" s="87"/>
      <c r="U4" s="12" t="s">
        <v>0</v>
      </c>
      <c r="V4" s="11" t="s">
        <v>288</v>
      </c>
      <c r="W4" s="11"/>
      <c r="X4" s="11"/>
      <c r="Y4" s="11">
        <v>1</v>
      </c>
      <c r="Z4" s="11"/>
      <c r="AA4" s="19">
        <f t="shared" si="4"/>
        <v>1</v>
      </c>
    </row>
    <row r="5" spans="1:27" x14ac:dyDescent="0.3">
      <c r="A5" s="87"/>
      <c r="B5" s="12" t="s">
        <v>0</v>
      </c>
      <c r="C5" s="11" t="s">
        <v>334</v>
      </c>
      <c r="D5" s="11"/>
      <c r="E5" s="11"/>
      <c r="F5" s="11"/>
      <c r="G5" s="11">
        <v>1</v>
      </c>
      <c r="H5" s="19">
        <f t="shared" si="0"/>
        <v>1</v>
      </c>
      <c r="J5" s="17" t="s">
        <v>3</v>
      </c>
      <c r="K5" s="11">
        <f t="shared" si="1"/>
        <v>2</v>
      </c>
      <c r="L5" s="11">
        <f t="shared" si="2"/>
        <v>2</v>
      </c>
      <c r="M5" s="34">
        <f t="shared" si="3"/>
        <v>0.21010101010101007</v>
      </c>
      <c r="N5" s="27">
        <v>0.79761904761904767</v>
      </c>
      <c r="O5" s="35">
        <v>0.5038600288600289</v>
      </c>
      <c r="T5" s="87"/>
      <c r="U5" s="12" t="s">
        <v>0</v>
      </c>
      <c r="V5" s="11" t="s">
        <v>334</v>
      </c>
      <c r="W5" s="11"/>
      <c r="X5" s="11"/>
      <c r="Y5" s="11"/>
      <c r="Z5" s="11">
        <v>1</v>
      </c>
      <c r="AA5" s="19">
        <f t="shared" si="4"/>
        <v>1</v>
      </c>
    </row>
    <row r="6" spans="1:27" x14ac:dyDescent="0.3">
      <c r="A6" s="87" t="s">
        <v>1</v>
      </c>
      <c r="B6" s="12" t="s">
        <v>1</v>
      </c>
      <c r="C6" s="11" t="s">
        <v>238</v>
      </c>
      <c r="D6" s="11">
        <v>1</v>
      </c>
      <c r="E6" s="11"/>
      <c r="F6" s="11"/>
      <c r="G6" s="11"/>
      <c r="H6" s="19">
        <f t="shared" si="0"/>
        <v>1</v>
      </c>
      <c r="J6" s="14" t="s">
        <v>4</v>
      </c>
      <c r="K6" s="11">
        <f t="shared" si="1"/>
        <v>7</v>
      </c>
      <c r="L6" s="11">
        <f t="shared" si="2"/>
        <v>6</v>
      </c>
      <c r="M6" s="34">
        <f t="shared" si="3"/>
        <v>0.65757575757575748</v>
      </c>
      <c r="N6" s="27">
        <v>0.55158730158730163</v>
      </c>
      <c r="O6" s="35">
        <v>0.60458152958152955</v>
      </c>
      <c r="T6" s="87" t="s">
        <v>1</v>
      </c>
      <c r="U6" s="12" t="s">
        <v>1</v>
      </c>
      <c r="V6" s="11" t="s">
        <v>238</v>
      </c>
      <c r="W6" s="11">
        <v>1</v>
      </c>
      <c r="X6" s="11"/>
      <c r="Y6" s="11"/>
      <c r="Z6" s="11"/>
      <c r="AA6" s="19">
        <f t="shared" si="4"/>
        <v>1</v>
      </c>
    </row>
    <row r="7" spans="1:27" x14ac:dyDescent="0.3">
      <c r="A7" s="87"/>
      <c r="B7" s="12" t="s">
        <v>1</v>
      </c>
      <c r="C7" s="11" t="s">
        <v>244</v>
      </c>
      <c r="D7" s="11">
        <v>1</v>
      </c>
      <c r="E7" s="11"/>
      <c r="F7" s="11"/>
      <c r="G7" s="11"/>
      <c r="H7" s="19">
        <f t="shared" si="0"/>
        <v>1</v>
      </c>
      <c r="J7" s="17" t="s">
        <v>5</v>
      </c>
      <c r="K7" s="11">
        <f t="shared" si="1"/>
        <v>6</v>
      </c>
      <c r="L7" s="11">
        <f t="shared" si="2"/>
        <v>6</v>
      </c>
      <c r="M7" s="34">
        <f t="shared" si="3"/>
        <v>0.63030303030303025</v>
      </c>
      <c r="N7" s="27">
        <v>0.92142857142857137</v>
      </c>
      <c r="O7" s="35">
        <v>0.77586580086580081</v>
      </c>
      <c r="T7" s="87"/>
      <c r="U7" s="12" t="s">
        <v>1</v>
      </c>
      <c r="V7" s="11" t="s">
        <v>244</v>
      </c>
      <c r="W7" s="11">
        <v>1</v>
      </c>
      <c r="X7" s="11"/>
      <c r="Y7" s="11"/>
      <c r="Z7" s="11"/>
      <c r="AA7" s="19">
        <f t="shared" si="4"/>
        <v>1</v>
      </c>
    </row>
    <row r="8" spans="1:27" x14ac:dyDescent="0.3">
      <c r="A8" s="87"/>
      <c r="B8" s="12" t="s">
        <v>1</v>
      </c>
      <c r="C8" s="11" t="s">
        <v>264</v>
      </c>
      <c r="D8" s="11"/>
      <c r="E8" s="11"/>
      <c r="F8" s="11">
        <v>1</v>
      </c>
      <c r="G8" s="11"/>
      <c r="H8" s="19">
        <f t="shared" si="0"/>
        <v>1</v>
      </c>
      <c r="J8" s="14" t="s">
        <v>6</v>
      </c>
      <c r="K8" s="11">
        <f t="shared" si="1"/>
        <v>2</v>
      </c>
      <c r="L8" s="11">
        <f t="shared" si="2"/>
        <v>2</v>
      </c>
      <c r="M8" s="34">
        <f t="shared" si="3"/>
        <v>0.21010101010101007</v>
      </c>
      <c r="N8" s="27">
        <v>0.1515873015873016</v>
      </c>
      <c r="O8" s="35">
        <v>0.18084415584415584</v>
      </c>
      <c r="T8" s="87"/>
      <c r="U8" s="12" t="s">
        <v>1</v>
      </c>
      <c r="V8" s="11" t="s">
        <v>264</v>
      </c>
      <c r="W8" s="11"/>
      <c r="X8" s="11"/>
      <c r="Y8" s="11">
        <v>1</v>
      </c>
      <c r="Z8" s="11"/>
      <c r="AA8" s="19">
        <f t="shared" si="4"/>
        <v>1</v>
      </c>
    </row>
    <row r="9" spans="1:27" x14ac:dyDescent="0.3">
      <c r="A9" s="87"/>
      <c r="B9" s="12" t="s">
        <v>1</v>
      </c>
      <c r="C9" s="11" t="s">
        <v>265</v>
      </c>
      <c r="D9" s="11"/>
      <c r="E9" s="11"/>
      <c r="F9" s="11">
        <v>1</v>
      </c>
      <c r="G9" s="11"/>
      <c r="H9" s="19">
        <f t="shared" si="0"/>
        <v>1</v>
      </c>
      <c r="J9" s="14" t="s">
        <v>7</v>
      </c>
      <c r="K9" s="11">
        <f t="shared" si="1"/>
        <v>2</v>
      </c>
      <c r="L9" s="11">
        <f t="shared" si="2"/>
        <v>2</v>
      </c>
      <c r="M9" s="34">
        <f t="shared" si="3"/>
        <v>0.21010101010101007</v>
      </c>
      <c r="N9" s="27">
        <v>0.85952380952380947</v>
      </c>
      <c r="O9" s="35">
        <v>0.53481240981240974</v>
      </c>
      <c r="T9" s="87"/>
      <c r="U9" s="12" t="s">
        <v>1</v>
      </c>
      <c r="V9" s="11" t="s">
        <v>265</v>
      </c>
      <c r="W9" s="11"/>
      <c r="X9" s="11"/>
      <c r="Y9" s="11">
        <v>1</v>
      </c>
      <c r="Z9" s="11"/>
      <c r="AA9" s="19">
        <f t="shared" si="4"/>
        <v>1</v>
      </c>
    </row>
    <row r="10" spans="1:27" x14ac:dyDescent="0.3">
      <c r="A10" s="87"/>
      <c r="B10" s="12" t="s">
        <v>1</v>
      </c>
      <c r="C10" s="11" t="s">
        <v>320</v>
      </c>
      <c r="D10" s="11"/>
      <c r="E10" s="11"/>
      <c r="F10" s="11"/>
      <c r="G10" s="11">
        <v>1</v>
      </c>
      <c r="H10" s="19">
        <f t="shared" si="0"/>
        <v>1</v>
      </c>
      <c r="J10" s="14" t="s">
        <v>8</v>
      </c>
      <c r="K10" s="11">
        <f t="shared" si="1"/>
        <v>11</v>
      </c>
      <c r="L10" s="11">
        <f t="shared" si="2"/>
        <v>9</v>
      </c>
      <c r="M10" s="34">
        <f t="shared" si="3"/>
        <v>1</v>
      </c>
      <c r="N10" s="27">
        <v>0.63611111111111118</v>
      </c>
      <c r="O10" s="35">
        <v>0.81805555555555554</v>
      </c>
      <c r="T10" s="87"/>
      <c r="U10" s="12" t="s">
        <v>1</v>
      </c>
      <c r="V10" s="11" t="s">
        <v>320</v>
      </c>
      <c r="W10" s="11"/>
      <c r="X10" s="11"/>
      <c r="Y10" s="11"/>
      <c r="Z10" s="11">
        <v>1</v>
      </c>
      <c r="AA10" s="19">
        <f t="shared" si="4"/>
        <v>1</v>
      </c>
    </row>
    <row r="11" spans="1:27" x14ac:dyDescent="0.3">
      <c r="A11" s="87" t="s">
        <v>2</v>
      </c>
      <c r="B11" s="12" t="s">
        <v>2</v>
      </c>
      <c r="C11" s="11" t="s">
        <v>234</v>
      </c>
      <c r="D11" s="11">
        <v>1</v>
      </c>
      <c r="E11" s="11"/>
      <c r="F11" s="11"/>
      <c r="G11" s="11"/>
      <c r="H11" s="19">
        <f t="shared" si="0"/>
        <v>1</v>
      </c>
      <c r="J11" s="17" t="s">
        <v>9</v>
      </c>
      <c r="K11" s="11">
        <f t="shared" si="1"/>
        <v>7</v>
      </c>
      <c r="L11" s="11">
        <f t="shared" si="2"/>
        <v>7</v>
      </c>
      <c r="M11" s="34">
        <f t="shared" si="3"/>
        <v>0.73535353535353531</v>
      </c>
      <c r="N11" s="27">
        <v>0.9912698412698413</v>
      </c>
      <c r="O11" s="35">
        <v>0.86331168831168825</v>
      </c>
      <c r="T11" s="87" t="s">
        <v>2</v>
      </c>
      <c r="U11" s="12" t="s">
        <v>2</v>
      </c>
      <c r="V11" s="11" t="s">
        <v>234</v>
      </c>
      <c r="W11" s="11">
        <v>1</v>
      </c>
      <c r="X11" s="11"/>
      <c r="Y11" s="11"/>
      <c r="Z11" s="11"/>
      <c r="AA11" s="19">
        <f t="shared" si="4"/>
        <v>1</v>
      </c>
    </row>
    <row r="12" spans="1:27" x14ac:dyDescent="0.3">
      <c r="A12" s="87"/>
      <c r="B12" s="12" t="s">
        <v>2</v>
      </c>
      <c r="C12" s="11" t="s">
        <v>241</v>
      </c>
      <c r="D12" s="11">
        <v>1</v>
      </c>
      <c r="E12" s="11"/>
      <c r="F12" s="11"/>
      <c r="G12" s="11"/>
      <c r="H12" s="19">
        <f t="shared" si="0"/>
        <v>1</v>
      </c>
      <c r="J12" s="14" t="s">
        <v>10</v>
      </c>
      <c r="K12" s="11">
        <f t="shared" si="1"/>
        <v>0</v>
      </c>
      <c r="L12" s="11">
        <f t="shared" si="2"/>
        <v>0</v>
      </c>
      <c r="M12" s="34">
        <f t="shared" si="3"/>
        <v>0</v>
      </c>
      <c r="N12" s="27">
        <v>0</v>
      </c>
      <c r="O12" s="35">
        <v>0</v>
      </c>
      <c r="T12" s="87"/>
      <c r="U12" s="12" t="s">
        <v>2</v>
      </c>
      <c r="V12" s="11" t="s">
        <v>241</v>
      </c>
      <c r="W12" s="11">
        <v>1</v>
      </c>
      <c r="X12" s="11"/>
      <c r="Y12" s="11"/>
      <c r="Z12" s="11"/>
      <c r="AA12" s="19">
        <f t="shared" si="4"/>
        <v>1</v>
      </c>
    </row>
    <row r="13" spans="1:27" x14ac:dyDescent="0.3">
      <c r="A13" s="87"/>
      <c r="B13" s="12" t="s">
        <v>2</v>
      </c>
      <c r="C13" s="11" t="s">
        <v>262</v>
      </c>
      <c r="D13" s="11"/>
      <c r="E13" s="11"/>
      <c r="F13" s="11">
        <v>1</v>
      </c>
      <c r="G13" s="11"/>
      <c r="H13" s="19">
        <f t="shared" si="0"/>
        <v>1</v>
      </c>
      <c r="J13" s="15" t="s">
        <v>11</v>
      </c>
      <c r="K13" s="11">
        <f t="shared" si="1"/>
        <v>1</v>
      </c>
      <c r="L13" s="11">
        <f t="shared" si="2"/>
        <v>1</v>
      </c>
      <c r="M13" s="34">
        <f t="shared" si="3"/>
        <v>0.10505050505050503</v>
      </c>
      <c r="N13" s="27">
        <v>0.31309523809523809</v>
      </c>
      <c r="O13" s="35">
        <v>0.20907287157287158</v>
      </c>
      <c r="T13" s="87"/>
      <c r="U13" s="12" t="s">
        <v>2</v>
      </c>
      <c r="V13" s="11" t="s">
        <v>262</v>
      </c>
      <c r="W13" s="11"/>
      <c r="X13" s="11"/>
      <c r="Y13" s="11">
        <v>1</v>
      </c>
      <c r="Z13" s="11"/>
      <c r="AA13" s="19">
        <f t="shared" si="4"/>
        <v>1</v>
      </c>
    </row>
    <row r="14" spans="1:27" x14ac:dyDescent="0.3">
      <c r="A14" s="87"/>
      <c r="B14" s="12" t="s">
        <v>2</v>
      </c>
      <c r="C14" s="11" t="s">
        <v>270</v>
      </c>
      <c r="D14" s="11"/>
      <c r="E14" s="11"/>
      <c r="F14" s="11">
        <v>1</v>
      </c>
      <c r="G14" s="11"/>
      <c r="H14" s="19">
        <f t="shared" si="0"/>
        <v>1</v>
      </c>
      <c r="J14" s="17" t="s">
        <v>12</v>
      </c>
      <c r="K14" s="11">
        <f t="shared" si="1"/>
        <v>3</v>
      </c>
      <c r="L14" s="11">
        <f t="shared" si="2"/>
        <v>3</v>
      </c>
      <c r="M14" s="34">
        <f t="shared" si="3"/>
        <v>0.31515151515151513</v>
      </c>
      <c r="N14" s="27">
        <v>0.98333333333333339</v>
      </c>
      <c r="O14" s="35">
        <v>0.64924242424242429</v>
      </c>
      <c r="T14" s="87"/>
      <c r="U14" s="12" t="s">
        <v>2</v>
      </c>
      <c r="V14" s="11" t="s">
        <v>270</v>
      </c>
      <c r="W14" s="11"/>
      <c r="X14" s="11"/>
      <c r="Y14" s="11">
        <v>1</v>
      </c>
      <c r="Z14" s="11"/>
      <c r="AA14" s="19">
        <f t="shared" si="4"/>
        <v>1</v>
      </c>
    </row>
    <row r="15" spans="1:27" x14ac:dyDescent="0.3">
      <c r="A15" s="87"/>
      <c r="B15" s="12" t="s">
        <v>2</v>
      </c>
      <c r="C15" s="11" t="s">
        <v>103</v>
      </c>
      <c r="D15" s="11"/>
      <c r="E15" s="11"/>
      <c r="F15" s="11">
        <v>1</v>
      </c>
      <c r="G15" s="11"/>
      <c r="H15" s="19">
        <f t="shared" si="0"/>
        <v>1</v>
      </c>
      <c r="J15" s="15" t="s">
        <v>13</v>
      </c>
      <c r="K15" s="11">
        <f t="shared" si="1"/>
        <v>1</v>
      </c>
      <c r="L15" s="11">
        <f t="shared" si="2"/>
        <v>1</v>
      </c>
      <c r="M15" s="34">
        <f t="shared" si="3"/>
        <v>0.10505050505050503</v>
      </c>
      <c r="N15" s="27">
        <v>0.7242063492063493</v>
      </c>
      <c r="O15" s="35">
        <v>0.41462842712842718</v>
      </c>
      <c r="T15" s="87"/>
      <c r="U15" s="12" t="s">
        <v>2</v>
      </c>
      <c r="V15" s="11" t="s">
        <v>103</v>
      </c>
      <c r="W15" s="11"/>
      <c r="X15" s="11"/>
      <c r="Y15" s="11">
        <v>1</v>
      </c>
      <c r="Z15" s="11"/>
      <c r="AA15" s="19">
        <f t="shared" si="4"/>
        <v>1</v>
      </c>
    </row>
    <row r="16" spans="1:27" x14ac:dyDescent="0.3">
      <c r="A16" s="87"/>
      <c r="B16" s="12" t="s">
        <v>2</v>
      </c>
      <c r="C16" s="11" t="s">
        <v>332</v>
      </c>
      <c r="D16" s="11"/>
      <c r="E16" s="11"/>
      <c r="F16" s="11"/>
      <c r="G16" s="11">
        <v>1</v>
      </c>
      <c r="H16" s="19">
        <f t="shared" si="0"/>
        <v>1</v>
      </c>
      <c r="J16" s="15" t="s">
        <v>14</v>
      </c>
      <c r="K16" s="11">
        <f t="shared" si="1"/>
        <v>0</v>
      </c>
      <c r="L16" s="11">
        <f t="shared" si="2"/>
        <v>0</v>
      </c>
      <c r="M16" s="34">
        <f t="shared" si="3"/>
        <v>0</v>
      </c>
      <c r="N16" s="27">
        <v>0.2190476190476191</v>
      </c>
      <c r="O16" s="35">
        <v>0.10952380952380955</v>
      </c>
      <c r="T16" s="87"/>
      <c r="U16" s="12" t="s">
        <v>2</v>
      </c>
      <c r="V16" s="11" t="s">
        <v>332</v>
      </c>
      <c r="W16" s="11"/>
      <c r="X16" s="11"/>
      <c r="Y16" s="11"/>
      <c r="Z16" s="11">
        <v>1</v>
      </c>
      <c r="AA16" s="19">
        <f t="shared" si="4"/>
        <v>1</v>
      </c>
    </row>
    <row r="17" spans="1:27" x14ac:dyDescent="0.3">
      <c r="A17" s="88" t="s">
        <v>3</v>
      </c>
      <c r="B17" s="13" t="s">
        <v>3</v>
      </c>
      <c r="C17" s="11" t="s">
        <v>251</v>
      </c>
      <c r="D17" s="11"/>
      <c r="E17" s="11">
        <v>1</v>
      </c>
      <c r="F17" s="11"/>
      <c r="G17" s="11"/>
      <c r="H17" s="19">
        <f t="shared" si="0"/>
        <v>1</v>
      </c>
      <c r="J17" s="17" t="s">
        <v>15</v>
      </c>
      <c r="K17" s="11">
        <f t="shared" si="1"/>
        <v>2</v>
      </c>
      <c r="L17" s="11">
        <f t="shared" si="2"/>
        <v>2</v>
      </c>
      <c r="M17" s="34">
        <f t="shared" si="3"/>
        <v>0.21010101010101007</v>
      </c>
      <c r="N17" s="27">
        <v>0.97142857142857142</v>
      </c>
      <c r="O17" s="35">
        <v>0.59076479076479071</v>
      </c>
      <c r="T17" s="88" t="s">
        <v>3</v>
      </c>
      <c r="U17" s="13" t="s">
        <v>3</v>
      </c>
      <c r="V17" s="11" t="s">
        <v>251</v>
      </c>
      <c r="W17" s="11"/>
      <c r="X17" s="11">
        <v>1</v>
      </c>
      <c r="Y17" s="11"/>
      <c r="Z17" s="11"/>
      <c r="AA17" s="19">
        <f t="shared" si="4"/>
        <v>1</v>
      </c>
    </row>
    <row r="18" spans="1:27" x14ac:dyDescent="0.3">
      <c r="A18" s="88"/>
      <c r="B18" s="13" t="s">
        <v>3</v>
      </c>
      <c r="C18" s="11" t="s">
        <v>268</v>
      </c>
      <c r="D18" s="11"/>
      <c r="E18" s="11"/>
      <c r="F18" s="11">
        <v>1</v>
      </c>
      <c r="G18" s="11"/>
      <c r="H18" s="19">
        <f t="shared" si="0"/>
        <v>1</v>
      </c>
      <c r="J18" s="15" t="s">
        <v>16</v>
      </c>
      <c r="K18" s="11">
        <f t="shared" si="1"/>
        <v>1</v>
      </c>
      <c r="L18" s="11">
        <f t="shared" si="2"/>
        <v>1</v>
      </c>
      <c r="M18" s="34">
        <f t="shared" si="3"/>
        <v>0.10505050505050503</v>
      </c>
      <c r="N18" s="27">
        <v>0.11269841269841271</v>
      </c>
      <c r="O18" s="35">
        <v>0.10887445887445887</v>
      </c>
      <c r="T18" s="88"/>
      <c r="U18" s="13" t="s">
        <v>3</v>
      </c>
      <c r="V18" s="11" t="s">
        <v>268</v>
      </c>
      <c r="W18" s="11"/>
      <c r="X18" s="11"/>
      <c r="Y18" s="11">
        <v>1</v>
      </c>
      <c r="Z18" s="11"/>
      <c r="AA18" s="19">
        <f t="shared" si="4"/>
        <v>1</v>
      </c>
    </row>
    <row r="19" spans="1:27" x14ac:dyDescent="0.3">
      <c r="A19" s="87" t="s">
        <v>4</v>
      </c>
      <c r="B19" s="12" t="s">
        <v>4</v>
      </c>
      <c r="C19" s="11" t="s">
        <v>235</v>
      </c>
      <c r="D19" s="11">
        <v>1</v>
      </c>
      <c r="E19" s="11"/>
      <c r="F19" s="11"/>
      <c r="G19" s="11">
        <v>1</v>
      </c>
      <c r="H19" s="19">
        <f t="shared" si="0"/>
        <v>2</v>
      </c>
      <c r="J19" s="15" t="s">
        <v>17</v>
      </c>
      <c r="K19" s="11">
        <f t="shared" si="1"/>
        <v>2</v>
      </c>
      <c r="L19" s="11">
        <f t="shared" si="2"/>
        <v>2</v>
      </c>
      <c r="M19" s="34">
        <f t="shared" si="3"/>
        <v>0.21010101010101007</v>
      </c>
      <c r="N19" s="27">
        <v>0.98095238095238091</v>
      </c>
      <c r="O19" s="35">
        <v>0.59552669552669546</v>
      </c>
      <c r="T19" s="87" t="s">
        <v>4</v>
      </c>
      <c r="U19" s="12" t="s">
        <v>4</v>
      </c>
      <c r="V19" s="11" t="s">
        <v>235</v>
      </c>
      <c r="W19" s="11">
        <v>1</v>
      </c>
      <c r="X19" s="11"/>
      <c r="Y19" s="11"/>
      <c r="Z19" s="11">
        <v>1</v>
      </c>
      <c r="AA19" s="19">
        <f t="shared" si="4"/>
        <v>2</v>
      </c>
    </row>
    <row r="20" spans="1:27" x14ac:dyDescent="0.3">
      <c r="A20" s="87"/>
      <c r="B20" s="12" t="s">
        <v>4</v>
      </c>
      <c r="C20" s="11" t="s">
        <v>242</v>
      </c>
      <c r="D20" s="11">
        <v>1</v>
      </c>
      <c r="E20" s="11"/>
      <c r="F20" s="11"/>
      <c r="G20" s="11"/>
      <c r="H20" s="19">
        <f t="shared" si="0"/>
        <v>1</v>
      </c>
      <c r="J20" s="17" t="s">
        <v>18</v>
      </c>
      <c r="K20" s="11">
        <f t="shared" si="1"/>
        <v>1</v>
      </c>
      <c r="L20" s="11">
        <f t="shared" si="2"/>
        <v>1</v>
      </c>
      <c r="M20" s="34">
        <f t="shared" si="3"/>
        <v>0.10505050505050503</v>
      </c>
      <c r="N20" s="27">
        <v>0.330952380952381</v>
      </c>
      <c r="O20" s="35">
        <v>0.21800144300144303</v>
      </c>
      <c r="T20" s="87"/>
      <c r="U20" s="12" t="s">
        <v>4</v>
      </c>
      <c r="V20" s="11" t="s">
        <v>242</v>
      </c>
      <c r="W20" s="11">
        <v>1</v>
      </c>
      <c r="X20" s="11"/>
      <c r="Y20" s="11"/>
      <c r="Z20" s="11"/>
      <c r="AA20" s="19">
        <f t="shared" si="4"/>
        <v>1</v>
      </c>
    </row>
    <row r="21" spans="1:27" x14ac:dyDescent="0.3">
      <c r="A21" s="87"/>
      <c r="B21" s="12" t="s">
        <v>4</v>
      </c>
      <c r="C21" s="11" t="s">
        <v>247</v>
      </c>
      <c r="D21" s="11">
        <v>1</v>
      </c>
      <c r="E21" s="11"/>
      <c r="F21" s="11"/>
      <c r="G21" s="11"/>
      <c r="H21" s="19">
        <f t="shared" si="0"/>
        <v>1</v>
      </c>
      <c r="J21" s="17" t="s">
        <v>19</v>
      </c>
      <c r="K21" s="11">
        <f t="shared" si="1"/>
        <v>1</v>
      </c>
      <c r="L21" s="11">
        <f t="shared" si="2"/>
        <v>1</v>
      </c>
      <c r="M21" s="34">
        <f t="shared" si="3"/>
        <v>0.10505050505050503</v>
      </c>
      <c r="N21" s="27">
        <v>0.82936507936507931</v>
      </c>
      <c r="O21" s="35">
        <v>0.46720779220779218</v>
      </c>
      <c r="T21" s="87"/>
      <c r="U21" s="12" t="s">
        <v>4</v>
      </c>
      <c r="V21" s="11" t="s">
        <v>247</v>
      </c>
      <c r="W21" s="11">
        <v>1</v>
      </c>
      <c r="X21" s="11"/>
      <c r="Y21" s="11"/>
      <c r="Z21" s="11"/>
      <c r="AA21" s="19">
        <f t="shared" si="4"/>
        <v>1</v>
      </c>
    </row>
    <row r="22" spans="1:27" x14ac:dyDescent="0.3">
      <c r="A22" s="87"/>
      <c r="B22" s="12" t="s">
        <v>4</v>
      </c>
      <c r="C22" s="11" t="s">
        <v>269</v>
      </c>
      <c r="D22" s="11"/>
      <c r="E22" s="11"/>
      <c r="F22" s="11">
        <v>1</v>
      </c>
      <c r="G22" s="11"/>
      <c r="H22" s="19">
        <f t="shared" si="0"/>
        <v>1</v>
      </c>
      <c r="J22" s="17" t="s">
        <v>20</v>
      </c>
      <c r="K22" s="11">
        <f t="shared" si="1"/>
        <v>6</v>
      </c>
      <c r="L22" s="11">
        <f t="shared" si="2"/>
        <v>6</v>
      </c>
      <c r="M22" s="34">
        <f t="shared" si="3"/>
        <v>0.63030303030303025</v>
      </c>
      <c r="N22" s="27">
        <v>0.95952380952380956</v>
      </c>
      <c r="O22" s="35">
        <v>0.79491341991341991</v>
      </c>
      <c r="T22" s="87"/>
      <c r="U22" s="12" t="s">
        <v>4</v>
      </c>
      <c r="V22" s="11" t="s">
        <v>269</v>
      </c>
      <c r="W22" s="11"/>
      <c r="X22" s="11"/>
      <c r="Y22" s="11">
        <v>1</v>
      </c>
      <c r="Z22" s="11"/>
      <c r="AA22" s="19">
        <f t="shared" si="4"/>
        <v>1</v>
      </c>
    </row>
    <row r="23" spans="1:27" x14ac:dyDescent="0.3">
      <c r="A23" s="87"/>
      <c r="B23" s="12" t="s">
        <v>4</v>
      </c>
      <c r="C23" s="11" t="s">
        <v>309</v>
      </c>
      <c r="D23" s="11"/>
      <c r="E23" s="11"/>
      <c r="F23" s="11">
        <v>1</v>
      </c>
      <c r="G23" s="11"/>
      <c r="H23" s="19">
        <f t="shared" si="0"/>
        <v>1</v>
      </c>
      <c r="J23" s="15" t="s">
        <v>21</v>
      </c>
      <c r="K23" s="11">
        <f t="shared" si="1"/>
        <v>0</v>
      </c>
      <c r="L23" s="11">
        <f t="shared" si="2"/>
        <v>0</v>
      </c>
      <c r="M23" s="34">
        <f t="shared" si="3"/>
        <v>0</v>
      </c>
      <c r="N23" s="27">
        <v>0</v>
      </c>
      <c r="O23" s="35">
        <v>0</v>
      </c>
      <c r="T23" s="87"/>
      <c r="U23" s="12" t="s">
        <v>4</v>
      </c>
      <c r="V23" s="11" t="s">
        <v>309</v>
      </c>
      <c r="W23" s="11"/>
      <c r="X23" s="11"/>
      <c r="Y23" s="11">
        <v>1</v>
      </c>
      <c r="Z23" s="11"/>
      <c r="AA23" s="19">
        <f t="shared" si="4"/>
        <v>1</v>
      </c>
    </row>
    <row r="24" spans="1:27" x14ac:dyDescent="0.3">
      <c r="A24" s="87"/>
      <c r="B24" s="12" t="s">
        <v>4</v>
      </c>
      <c r="C24" s="11" t="s">
        <v>311</v>
      </c>
      <c r="D24" s="11"/>
      <c r="E24" s="11"/>
      <c r="F24" s="11"/>
      <c r="G24" s="11">
        <v>1</v>
      </c>
      <c r="H24" s="19">
        <f t="shared" si="0"/>
        <v>1</v>
      </c>
      <c r="J24" s="15" t="s">
        <v>22</v>
      </c>
      <c r="K24" s="11">
        <f t="shared" si="1"/>
        <v>0</v>
      </c>
      <c r="L24" s="11">
        <f t="shared" si="2"/>
        <v>0</v>
      </c>
      <c r="M24" s="34">
        <f t="shared" si="3"/>
        <v>0</v>
      </c>
      <c r="N24" s="27">
        <v>0.73571428571428565</v>
      </c>
      <c r="O24" s="35">
        <v>0.36785714285714283</v>
      </c>
      <c r="T24" s="87"/>
      <c r="U24" s="12" t="s">
        <v>4</v>
      </c>
      <c r="V24" s="11" t="s">
        <v>311</v>
      </c>
      <c r="W24" s="11"/>
      <c r="X24" s="11"/>
      <c r="Y24" s="11"/>
      <c r="Z24" s="11">
        <v>1</v>
      </c>
      <c r="AA24" s="19">
        <f t="shared" si="4"/>
        <v>1</v>
      </c>
    </row>
    <row r="25" spans="1:27" x14ac:dyDescent="0.3">
      <c r="A25" s="88" t="s">
        <v>5</v>
      </c>
      <c r="B25" s="13" t="s">
        <v>5</v>
      </c>
      <c r="C25" s="11" t="s">
        <v>229</v>
      </c>
      <c r="D25" s="11">
        <v>1</v>
      </c>
      <c r="E25" s="11"/>
      <c r="F25" s="11"/>
      <c r="G25" s="11"/>
      <c r="H25" s="19">
        <f t="shared" si="0"/>
        <v>1</v>
      </c>
      <c r="J25" s="15" t="s">
        <v>23</v>
      </c>
      <c r="K25" s="11">
        <f t="shared" si="1"/>
        <v>0</v>
      </c>
      <c r="L25" s="11">
        <f t="shared" si="2"/>
        <v>0</v>
      </c>
      <c r="M25" s="34">
        <f t="shared" si="3"/>
        <v>0</v>
      </c>
      <c r="N25" s="27">
        <v>0.60595238095238091</v>
      </c>
      <c r="O25" s="35">
        <v>0.30297619047619045</v>
      </c>
    </row>
    <row r="26" spans="1:27" x14ac:dyDescent="0.3">
      <c r="A26" s="88"/>
      <c r="B26" s="13" t="s">
        <v>5</v>
      </c>
      <c r="C26" s="11" t="s">
        <v>105</v>
      </c>
      <c r="D26" s="11"/>
      <c r="E26" s="11">
        <v>1</v>
      </c>
      <c r="F26" s="11"/>
      <c r="G26" s="11"/>
      <c r="H26" s="19">
        <f t="shared" si="0"/>
        <v>1</v>
      </c>
      <c r="J26" s="15" t="s">
        <v>24</v>
      </c>
      <c r="K26" s="11">
        <f t="shared" si="1"/>
        <v>0</v>
      </c>
      <c r="L26" s="11">
        <f t="shared" si="2"/>
        <v>0</v>
      </c>
      <c r="M26" s="34">
        <f t="shared" si="3"/>
        <v>0</v>
      </c>
      <c r="N26" s="27">
        <v>0.43333333333333329</v>
      </c>
      <c r="O26" s="35">
        <v>0.21666666666666665</v>
      </c>
    </row>
    <row r="27" spans="1:27" x14ac:dyDescent="0.3">
      <c r="A27" s="88"/>
      <c r="B27" s="13" t="s">
        <v>5</v>
      </c>
      <c r="C27" s="11" t="s">
        <v>250</v>
      </c>
      <c r="D27" s="11"/>
      <c r="E27" s="11">
        <v>1</v>
      </c>
      <c r="F27" s="11"/>
      <c r="G27" s="11"/>
      <c r="H27" s="19">
        <f t="shared" si="0"/>
        <v>1</v>
      </c>
      <c r="J27" s="17" t="s">
        <v>25</v>
      </c>
      <c r="K27" s="11">
        <f t="shared" si="1"/>
        <v>0</v>
      </c>
      <c r="L27" s="11">
        <f t="shared" si="2"/>
        <v>0</v>
      </c>
      <c r="M27" s="34">
        <f t="shared" si="3"/>
        <v>0</v>
      </c>
      <c r="N27" s="27">
        <v>0.66428571428571437</v>
      </c>
      <c r="O27" s="35">
        <v>0.33214285714285718</v>
      </c>
    </row>
    <row r="28" spans="1:27" x14ac:dyDescent="0.3">
      <c r="A28" s="88"/>
      <c r="B28" s="13" t="s">
        <v>5</v>
      </c>
      <c r="C28" s="11" t="s">
        <v>259</v>
      </c>
      <c r="D28" s="11"/>
      <c r="E28" s="11"/>
      <c r="F28" s="11">
        <v>1</v>
      </c>
      <c r="G28" s="11"/>
      <c r="H28" s="19">
        <f t="shared" si="0"/>
        <v>1</v>
      </c>
      <c r="J28" s="17" t="s">
        <v>26</v>
      </c>
      <c r="K28" s="11">
        <f t="shared" si="1"/>
        <v>4</v>
      </c>
      <c r="L28" s="11">
        <f t="shared" si="2"/>
        <v>3</v>
      </c>
      <c r="M28" s="34">
        <f t="shared" si="3"/>
        <v>0.34242424242424241</v>
      </c>
      <c r="N28" s="27">
        <v>0.65396825396825398</v>
      </c>
      <c r="O28" s="35">
        <v>0.49819624819624819</v>
      </c>
    </row>
    <row r="29" spans="1:27" x14ac:dyDescent="0.3">
      <c r="A29" s="88"/>
      <c r="B29" s="13" t="s">
        <v>5</v>
      </c>
      <c r="C29" s="11" t="s">
        <v>304</v>
      </c>
      <c r="D29" s="11"/>
      <c r="E29" s="11"/>
      <c r="F29" s="11">
        <v>1</v>
      </c>
      <c r="G29" s="11"/>
      <c r="H29" s="19">
        <f t="shared" si="0"/>
        <v>1</v>
      </c>
      <c r="J29" s="15" t="s">
        <v>27</v>
      </c>
      <c r="K29" s="11">
        <f t="shared" si="1"/>
        <v>0</v>
      </c>
      <c r="L29" s="11">
        <f t="shared" si="2"/>
        <v>0</v>
      </c>
      <c r="M29" s="34">
        <f t="shared" si="3"/>
        <v>0</v>
      </c>
      <c r="N29" s="27">
        <v>0.1873015873015873</v>
      </c>
      <c r="O29" s="35">
        <v>9.3650793650793651E-2</v>
      </c>
    </row>
    <row r="30" spans="1:27" x14ac:dyDescent="0.3">
      <c r="A30" s="88"/>
      <c r="B30" s="13" t="s">
        <v>5</v>
      </c>
      <c r="C30" s="11" t="s">
        <v>321</v>
      </c>
      <c r="D30" s="11"/>
      <c r="E30" s="11"/>
      <c r="F30" s="11"/>
      <c r="G30" s="11">
        <v>1</v>
      </c>
      <c r="H30" s="19">
        <f t="shared" si="0"/>
        <v>1</v>
      </c>
      <c r="J30" s="15" t="s">
        <v>28</v>
      </c>
      <c r="K30" s="11">
        <f t="shared" si="1"/>
        <v>0</v>
      </c>
      <c r="L30" s="11">
        <f t="shared" si="2"/>
        <v>0</v>
      </c>
      <c r="M30" s="34">
        <f t="shared" si="3"/>
        <v>0</v>
      </c>
      <c r="N30" s="27">
        <v>0.54047619047619044</v>
      </c>
      <c r="O30" s="35">
        <v>0.27023809523809522</v>
      </c>
    </row>
    <row r="31" spans="1:27" x14ac:dyDescent="0.3">
      <c r="A31" s="87" t="s">
        <v>6</v>
      </c>
      <c r="B31" s="12" t="s">
        <v>6</v>
      </c>
      <c r="C31" s="11" t="s">
        <v>253</v>
      </c>
      <c r="D31" s="11"/>
      <c r="E31" s="11"/>
      <c r="F31" s="11">
        <v>1</v>
      </c>
      <c r="G31" s="11"/>
      <c r="H31" s="19">
        <f t="shared" si="0"/>
        <v>1</v>
      </c>
      <c r="J31" s="17" t="s">
        <v>29</v>
      </c>
      <c r="K31" s="11">
        <f t="shared" si="1"/>
        <v>3</v>
      </c>
      <c r="L31" s="11">
        <f t="shared" si="2"/>
        <v>3</v>
      </c>
      <c r="M31" s="34">
        <f t="shared" si="3"/>
        <v>0.31515151515151513</v>
      </c>
      <c r="N31" s="27">
        <v>0.95793650793650797</v>
      </c>
      <c r="O31" s="35">
        <v>0.63654401154401152</v>
      </c>
    </row>
    <row r="32" spans="1:27" x14ac:dyDescent="0.3">
      <c r="A32" s="87"/>
      <c r="B32" s="12" t="s">
        <v>6</v>
      </c>
      <c r="C32" s="11" t="s">
        <v>302</v>
      </c>
      <c r="D32" s="11"/>
      <c r="E32" s="11"/>
      <c r="F32" s="11">
        <v>1</v>
      </c>
      <c r="G32" s="11"/>
      <c r="H32" s="19">
        <f t="shared" si="0"/>
        <v>1</v>
      </c>
      <c r="J32" s="15" t="s">
        <v>30</v>
      </c>
      <c r="K32" s="11">
        <f t="shared" si="1"/>
        <v>11</v>
      </c>
      <c r="L32" s="11">
        <f t="shared" si="2"/>
        <v>9</v>
      </c>
      <c r="M32" s="34">
        <f t="shared" si="3"/>
        <v>1</v>
      </c>
      <c r="N32" s="27">
        <v>0.61865079365079367</v>
      </c>
      <c r="O32" s="35">
        <v>0.80932539682539684</v>
      </c>
    </row>
    <row r="33" spans="1:15" x14ac:dyDescent="0.3">
      <c r="A33" s="87" t="s">
        <v>7</v>
      </c>
      <c r="B33" s="12" t="s">
        <v>7</v>
      </c>
      <c r="C33" s="11" t="s">
        <v>273</v>
      </c>
      <c r="D33" s="11"/>
      <c r="E33" s="11"/>
      <c r="F33" s="11">
        <v>1</v>
      </c>
      <c r="G33" s="11"/>
      <c r="H33" s="19">
        <f t="shared" si="0"/>
        <v>1</v>
      </c>
      <c r="J33" s="15" t="s">
        <v>31</v>
      </c>
      <c r="K33" s="11">
        <f t="shared" si="1"/>
        <v>0</v>
      </c>
      <c r="L33" s="11">
        <f t="shared" si="2"/>
        <v>0</v>
      </c>
      <c r="M33" s="34">
        <f t="shared" si="3"/>
        <v>0</v>
      </c>
      <c r="N33" s="27">
        <v>0</v>
      </c>
      <c r="O33" s="35">
        <v>0</v>
      </c>
    </row>
    <row r="34" spans="1:15" x14ac:dyDescent="0.3">
      <c r="A34" s="87"/>
      <c r="B34" s="12" t="s">
        <v>7</v>
      </c>
      <c r="C34" s="11" t="s">
        <v>280</v>
      </c>
      <c r="D34" s="11"/>
      <c r="E34" s="11"/>
      <c r="F34" s="11">
        <v>1</v>
      </c>
      <c r="G34" s="11"/>
      <c r="H34" s="19">
        <f t="shared" si="0"/>
        <v>1</v>
      </c>
      <c r="J34" s="17" t="s">
        <v>32</v>
      </c>
      <c r="K34" s="11">
        <f t="shared" si="1"/>
        <v>5</v>
      </c>
      <c r="L34" s="11">
        <f t="shared" si="2"/>
        <v>4</v>
      </c>
      <c r="M34" s="34">
        <f t="shared" si="3"/>
        <v>0.44747474747474741</v>
      </c>
      <c r="N34" s="27">
        <v>0.83650793650793653</v>
      </c>
      <c r="O34" s="35">
        <v>0.641991341991342</v>
      </c>
    </row>
    <row r="35" spans="1:15" x14ac:dyDescent="0.3">
      <c r="A35" s="87" t="s">
        <v>8</v>
      </c>
      <c r="B35" s="12" t="s">
        <v>8</v>
      </c>
      <c r="C35" s="11" t="s">
        <v>230</v>
      </c>
      <c r="D35" s="11">
        <v>1</v>
      </c>
      <c r="E35" s="11"/>
      <c r="F35" s="11"/>
      <c r="G35" s="11"/>
      <c r="H35" s="19">
        <f t="shared" si="0"/>
        <v>1</v>
      </c>
      <c r="J35" s="17" t="s">
        <v>33</v>
      </c>
      <c r="K35" s="11">
        <f t="shared" si="1"/>
        <v>2</v>
      </c>
      <c r="L35" s="11">
        <f t="shared" si="2"/>
        <v>2</v>
      </c>
      <c r="M35" s="34">
        <f t="shared" si="3"/>
        <v>0.21010101010101007</v>
      </c>
      <c r="N35" s="27">
        <v>0.96746031746031758</v>
      </c>
      <c r="O35" s="35">
        <v>0.58878066378066385</v>
      </c>
    </row>
    <row r="36" spans="1:15" x14ac:dyDescent="0.3">
      <c r="A36" s="87"/>
      <c r="B36" s="12" t="s">
        <v>8</v>
      </c>
      <c r="C36" s="11" t="s">
        <v>231</v>
      </c>
      <c r="D36" s="11">
        <v>1</v>
      </c>
      <c r="E36" s="11"/>
      <c r="F36" s="11">
        <v>1</v>
      </c>
      <c r="G36" s="11"/>
      <c r="H36" s="19">
        <f t="shared" si="0"/>
        <v>2</v>
      </c>
      <c r="J36" s="17" t="s">
        <v>34</v>
      </c>
      <c r="K36" s="11">
        <f t="shared" si="1"/>
        <v>1</v>
      </c>
      <c r="L36" s="11">
        <f t="shared" si="2"/>
        <v>1</v>
      </c>
      <c r="M36" s="34">
        <f t="shared" si="3"/>
        <v>0.10505050505050503</v>
      </c>
      <c r="N36" s="27">
        <v>0.99444444444444446</v>
      </c>
      <c r="O36" s="35">
        <v>0.54974747474747476</v>
      </c>
    </row>
    <row r="37" spans="1:15" x14ac:dyDescent="0.3">
      <c r="A37" s="87"/>
      <c r="B37" s="12" t="s">
        <v>8</v>
      </c>
      <c r="C37" s="11" t="s">
        <v>237</v>
      </c>
      <c r="D37" s="11">
        <v>1</v>
      </c>
      <c r="E37" s="11"/>
      <c r="F37" s="11">
        <v>1</v>
      </c>
      <c r="G37" s="11"/>
      <c r="H37" s="19">
        <f t="shared" si="0"/>
        <v>2</v>
      </c>
      <c r="J37" s="15" t="s">
        <v>35</v>
      </c>
      <c r="K37" s="11">
        <f t="shared" si="1"/>
        <v>0</v>
      </c>
      <c r="L37" s="11">
        <f t="shared" si="2"/>
        <v>0</v>
      </c>
      <c r="M37" s="34">
        <f t="shared" si="3"/>
        <v>0</v>
      </c>
      <c r="N37" s="27">
        <v>0.32936507936507931</v>
      </c>
      <c r="O37" s="35">
        <v>0.16468253968253965</v>
      </c>
    </row>
    <row r="38" spans="1:15" x14ac:dyDescent="0.3">
      <c r="A38" s="87"/>
      <c r="B38" s="12" t="s">
        <v>8</v>
      </c>
      <c r="C38" s="11" t="s">
        <v>239</v>
      </c>
      <c r="D38" s="11">
        <v>1</v>
      </c>
      <c r="E38" s="11"/>
      <c r="F38" s="11"/>
      <c r="G38" s="11"/>
      <c r="H38" s="19">
        <f t="shared" si="0"/>
        <v>1</v>
      </c>
      <c r="J38" s="15" t="s">
        <v>36</v>
      </c>
      <c r="K38" s="11">
        <f t="shared" si="1"/>
        <v>1</v>
      </c>
      <c r="L38" s="11">
        <f t="shared" si="2"/>
        <v>1</v>
      </c>
      <c r="M38" s="34">
        <f t="shared" si="3"/>
        <v>0.10505050505050503</v>
      </c>
      <c r="N38" s="27">
        <v>0.1436507936507937</v>
      </c>
      <c r="O38" s="35">
        <v>0.12435064935064936</v>
      </c>
    </row>
    <row r="39" spans="1:15" x14ac:dyDescent="0.3">
      <c r="A39" s="87"/>
      <c r="B39" s="12" t="s">
        <v>8</v>
      </c>
      <c r="C39" s="11" t="s">
        <v>294</v>
      </c>
      <c r="D39" s="11"/>
      <c r="E39" s="11"/>
      <c r="F39" s="11">
        <v>1</v>
      </c>
      <c r="G39" s="11"/>
      <c r="H39" s="19">
        <f t="shared" si="0"/>
        <v>1</v>
      </c>
      <c r="J39" s="17" t="s">
        <v>37</v>
      </c>
      <c r="K39" s="11">
        <f t="shared" si="1"/>
        <v>6</v>
      </c>
      <c r="L39" s="11">
        <f t="shared" si="2"/>
        <v>6</v>
      </c>
      <c r="M39" s="34">
        <f t="shared" si="3"/>
        <v>0.63030303030303025</v>
      </c>
      <c r="N39" s="27">
        <v>0.98095238095238091</v>
      </c>
      <c r="O39" s="35">
        <v>0.80562770562770558</v>
      </c>
    </row>
    <row r="40" spans="1:15" x14ac:dyDescent="0.3">
      <c r="A40" s="87"/>
      <c r="B40" s="12" t="s">
        <v>8</v>
      </c>
      <c r="C40" s="11" t="s">
        <v>297</v>
      </c>
      <c r="D40" s="11"/>
      <c r="E40" s="11"/>
      <c r="F40" s="11">
        <v>1</v>
      </c>
      <c r="G40" s="11"/>
      <c r="H40" s="19">
        <f t="shared" si="0"/>
        <v>1</v>
      </c>
      <c r="J40" s="15" t="s">
        <v>38</v>
      </c>
      <c r="K40" s="11">
        <f t="shared" si="1"/>
        <v>0</v>
      </c>
      <c r="L40" s="11">
        <f t="shared" si="2"/>
        <v>0</v>
      </c>
      <c r="M40" s="34">
        <f t="shared" si="3"/>
        <v>0</v>
      </c>
      <c r="N40" s="27">
        <v>0.96190476190476193</v>
      </c>
      <c r="O40" s="35">
        <v>0.48095238095238096</v>
      </c>
    </row>
    <row r="41" spans="1:15" x14ac:dyDescent="0.3">
      <c r="A41" s="87"/>
      <c r="B41" s="12" t="s">
        <v>8</v>
      </c>
      <c r="C41" s="11" t="s">
        <v>314</v>
      </c>
      <c r="D41" s="11"/>
      <c r="E41" s="11"/>
      <c r="F41" s="11">
        <v>1</v>
      </c>
      <c r="G41" s="11"/>
      <c r="H41" s="19">
        <f t="shared" si="0"/>
        <v>1</v>
      </c>
      <c r="J41" s="15" t="s">
        <v>39</v>
      </c>
      <c r="K41" s="11">
        <f t="shared" si="1"/>
        <v>0</v>
      </c>
      <c r="L41" s="11">
        <f t="shared" si="2"/>
        <v>0</v>
      </c>
      <c r="M41" s="34">
        <f t="shared" si="3"/>
        <v>0</v>
      </c>
      <c r="N41" s="27">
        <v>0.17619047619047623</v>
      </c>
      <c r="O41" s="35">
        <v>8.8095238095238115E-2</v>
      </c>
    </row>
    <row r="42" spans="1:15" x14ac:dyDescent="0.3">
      <c r="A42" s="87"/>
      <c r="B42" s="12" t="s">
        <v>8</v>
      </c>
      <c r="C42" s="11" t="s">
        <v>319</v>
      </c>
      <c r="D42" s="11"/>
      <c r="E42" s="11"/>
      <c r="F42" s="11"/>
      <c r="G42" s="11">
        <v>1</v>
      </c>
      <c r="H42" s="19">
        <f t="shared" si="0"/>
        <v>1</v>
      </c>
      <c r="J42" s="17" t="s">
        <v>40</v>
      </c>
      <c r="K42" s="11">
        <f t="shared" si="1"/>
        <v>0</v>
      </c>
      <c r="L42" s="11">
        <f t="shared" si="2"/>
        <v>0</v>
      </c>
      <c r="M42" s="34">
        <f t="shared" si="3"/>
        <v>0</v>
      </c>
      <c r="N42" s="27">
        <v>0.60992063492063486</v>
      </c>
      <c r="O42" s="35">
        <v>0.30496031746031743</v>
      </c>
    </row>
    <row r="43" spans="1:15" x14ac:dyDescent="0.3">
      <c r="A43" s="87"/>
      <c r="B43" s="12" t="s">
        <v>8</v>
      </c>
      <c r="C43" s="11" t="s">
        <v>328</v>
      </c>
      <c r="D43" s="11"/>
      <c r="E43" s="11"/>
      <c r="F43" s="11"/>
      <c r="G43" s="11">
        <v>1</v>
      </c>
      <c r="H43" s="19">
        <f t="shared" si="0"/>
        <v>1</v>
      </c>
      <c r="J43" s="17" t="s">
        <v>41</v>
      </c>
      <c r="K43" s="11">
        <f t="shared" si="1"/>
        <v>0</v>
      </c>
      <c r="L43" s="11">
        <f t="shared" si="2"/>
        <v>0</v>
      </c>
      <c r="M43" s="34">
        <f t="shared" si="3"/>
        <v>0</v>
      </c>
      <c r="N43" s="27">
        <v>0</v>
      </c>
      <c r="O43" s="35">
        <v>0</v>
      </c>
    </row>
    <row r="44" spans="1:15" x14ac:dyDescent="0.3">
      <c r="A44" s="88" t="s">
        <v>9</v>
      </c>
      <c r="B44" s="13" t="s">
        <v>9</v>
      </c>
      <c r="C44" s="11" t="s">
        <v>233</v>
      </c>
      <c r="D44" s="11">
        <v>1</v>
      </c>
      <c r="E44" s="11"/>
      <c r="F44" s="11"/>
      <c r="G44" s="11"/>
      <c r="H44" s="19">
        <f t="shared" si="0"/>
        <v>1</v>
      </c>
      <c r="J44" s="17" t="s">
        <v>42</v>
      </c>
      <c r="K44" s="11">
        <f t="shared" si="1"/>
        <v>0</v>
      </c>
      <c r="L44" s="11">
        <f t="shared" si="2"/>
        <v>0</v>
      </c>
      <c r="M44" s="34">
        <f t="shared" si="3"/>
        <v>0</v>
      </c>
      <c r="N44" s="27">
        <v>0.77142857142857146</v>
      </c>
      <c r="O44" s="35">
        <v>0.38571428571428573</v>
      </c>
    </row>
    <row r="45" spans="1:15" x14ac:dyDescent="0.3">
      <c r="A45" s="88"/>
      <c r="B45" s="13" t="s">
        <v>9</v>
      </c>
      <c r="C45" s="11" t="s">
        <v>276</v>
      </c>
      <c r="D45" s="11"/>
      <c r="E45" s="11"/>
      <c r="F45" s="11">
        <v>1</v>
      </c>
      <c r="G45" s="11"/>
      <c r="H45" s="19">
        <f t="shared" si="0"/>
        <v>1</v>
      </c>
      <c r="J45" s="17" t="s">
        <v>43</v>
      </c>
      <c r="K45" s="11">
        <f t="shared" si="1"/>
        <v>2</v>
      </c>
      <c r="L45" s="11">
        <f t="shared" si="2"/>
        <v>2</v>
      </c>
      <c r="M45" s="34">
        <f t="shared" si="3"/>
        <v>0.21010101010101007</v>
      </c>
      <c r="N45" s="27">
        <v>0.97063492063492063</v>
      </c>
      <c r="O45" s="35">
        <v>0.59036796536796532</v>
      </c>
    </row>
    <row r="46" spans="1:15" x14ac:dyDescent="0.3">
      <c r="A46" s="88"/>
      <c r="B46" s="13" t="s">
        <v>9</v>
      </c>
      <c r="C46" s="11" t="s">
        <v>281</v>
      </c>
      <c r="D46" s="11"/>
      <c r="E46" s="11"/>
      <c r="F46" s="11">
        <v>1</v>
      </c>
      <c r="G46" s="11"/>
      <c r="H46" s="19">
        <f t="shared" si="0"/>
        <v>1</v>
      </c>
      <c r="J46" s="15" t="s">
        <v>44</v>
      </c>
      <c r="K46" s="11">
        <f t="shared" si="1"/>
        <v>4</v>
      </c>
      <c r="L46" s="11">
        <f t="shared" si="2"/>
        <v>4</v>
      </c>
      <c r="M46" s="34">
        <f t="shared" si="3"/>
        <v>0.42020202020202013</v>
      </c>
      <c r="N46" s="27">
        <v>0.39404761904761909</v>
      </c>
      <c r="O46" s="35">
        <v>0.40712481962481961</v>
      </c>
    </row>
    <row r="47" spans="1:15" x14ac:dyDescent="0.3">
      <c r="A47" s="88"/>
      <c r="B47" s="13" t="s">
        <v>9</v>
      </c>
      <c r="C47" s="11" t="s">
        <v>295</v>
      </c>
      <c r="D47" s="11"/>
      <c r="E47" s="11"/>
      <c r="F47" s="11">
        <v>1</v>
      </c>
      <c r="G47" s="11"/>
      <c r="H47" s="19">
        <f t="shared" si="0"/>
        <v>1</v>
      </c>
      <c r="J47" s="17" t="s">
        <v>45</v>
      </c>
      <c r="K47" s="11">
        <f t="shared" si="1"/>
        <v>0</v>
      </c>
      <c r="L47" s="11">
        <f t="shared" si="2"/>
        <v>0</v>
      </c>
      <c r="M47" s="34">
        <f t="shared" si="3"/>
        <v>0</v>
      </c>
      <c r="N47" s="27">
        <v>0</v>
      </c>
      <c r="O47" s="35">
        <v>0</v>
      </c>
    </row>
    <row r="48" spans="1:15" x14ac:dyDescent="0.3">
      <c r="A48" s="88"/>
      <c r="B48" s="13" t="s">
        <v>9</v>
      </c>
      <c r="C48" s="11" t="s">
        <v>300</v>
      </c>
      <c r="D48" s="11"/>
      <c r="E48" s="11"/>
      <c r="F48" s="11">
        <v>1</v>
      </c>
      <c r="G48" s="11"/>
      <c r="H48" s="19">
        <f t="shared" si="0"/>
        <v>1</v>
      </c>
      <c r="J48" s="15" t="s">
        <v>46</v>
      </c>
      <c r="K48" s="11">
        <f t="shared" si="1"/>
        <v>1</v>
      </c>
      <c r="L48" s="11">
        <f t="shared" si="2"/>
        <v>1</v>
      </c>
      <c r="M48" s="34">
        <f t="shared" si="3"/>
        <v>0.10505050505050503</v>
      </c>
      <c r="N48" s="27">
        <v>0.95952380952380956</v>
      </c>
      <c r="O48" s="35">
        <v>0.53228715728715725</v>
      </c>
    </row>
    <row r="49" spans="1:15" x14ac:dyDescent="0.3">
      <c r="A49" s="88"/>
      <c r="B49" s="13" t="s">
        <v>9</v>
      </c>
      <c r="C49" s="11" t="s">
        <v>313</v>
      </c>
      <c r="D49" s="11"/>
      <c r="E49" s="11"/>
      <c r="F49" s="11"/>
      <c r="G49" s="11">
        <v>1</v>
      </c>
      <c r="H49" s="19">
        <f t="shared" si="0"/>
        <v>1</v>
      </c>
      <c r="J49" s="15" t="s">
        <v>47</v>
      </c>
      <c r="K49" s="11">
        <f t="shared" si="1"/>
        <v>0</v>
      </c>
      <c r="L49" s="11">
        <f t="shared" si="2"/>
        <v>0</v>
      </c>
      <c r="M49" s="34">
        <f t="shared" si="3"/>
        <v>0</v>
      </c>
      <c r="N49" s="27">
        <v>0.17063492063492067</v>
      </c>
      <c r="O49" s="35">
        <v>8.5317460317460334E-2</v>
      </c>
    </row>
    <row r="50" spans="1:15" x14ac:dyDescent="0.3">
      <c r="A50" s="88"/>
      <c r="B50" s="13" t="s">
        <v>9</v>
      </c>
      <c r="C50" s="11" t="s">
        <v>325</v>
      </c>
      <c r="D50" s="11"/>
      <c r="E50" s="11"/>
      <c r="F50" s="11"/>
      <c r="G50" s="11">
        <v>1</v>
      </c>
      <c r="H50" s="19">
        <f t="shared" si="0"/>
        <v>1</v>
      </c>
      <c r="J50" s="15" t="s">
        <v>48</v>
      </c>
      <c r="K50" s="11">
        <f t="shared" si="1"/>
        <v>0</v>
      </c>
      <c r="L50" s="11">
        <f t="shared" si="2"/>
        <v>0</v>
      </c>
      <c r="M50" s="34">
        <f t="shared" si="3"/>
        <v>0</v>
      </c>
      <c r="N50" s="27">
        <v>0.63571428571428568</v>
      </c>
      <c r="O50" s="35">
        <v>0.31785714285714284</v>
      </c>
    </row>
    <row r="51" spans="1:15" x14ac:dyDescent="0.3">
      <c r="A51" s="14" t="s">
        <v>10</v>
      </c>
      <c r="B51" s="14"/>
      <c r="C51" s="11"/>
      <c r="D51" s="11"/>
      <c r="E51" s="11"/>
      <c r="F51" s="11"/>
      <c r="G51" s="11"/>
      <c r="H51" s="19">
        <f t="shared" si="0"/>
        <v>0</v>
      </c>
      <c r="J51" s="15" t="s">
        <v>49</v>
      </c>
      <c r="K51" s="11">
        <f t="shared" si="1"/>
        <v>0</v>
      </c>
      <c r="L51" s="11">
        <f t="shared" si="2"/>
        <v>0</v>
      </c>
      <c r="M51" s="34">
        <f t="shared" si="3"/>
        <v>0</v>
      </c>
      <c r="N51" s="27">
        <v>0.54702380952380958</v>
      </c>
      <c r="O51" s="35">
        <v>0.27351190476190479</v>
      </c>
    </row>
    <row r="52" spans="1:15" x14ac:dyDescent="0.3">
      <c r="A52" s="15" t="s">
        <v>11</v>
      </c>
      <c r="B52" s="15" t="s">
        <v>11</v>
      </c>
      <c r="C52" s="11" t="s">
        <v>232</v>
      </c>
      <c r="D52" s="11">
        <v>1</v>
      </c>
      <c r="E52" s="11"/>
      <c r="F52" s="11"/>
      <c r="G52" s="11"/>
      <c r="H52" s="19">
        <f t="shared" si="0"/>
        <v>1</v>
      </c>
      <c r="J52" s="15" t="s">
        <v>50</v>
      </c>
      <c r="K52" s="11">
        <f t="shared" si="1"/>
        <v>0</v>
      </c>
      <c r="L52" s="11">
        <f t="shared" si="2"/>
        <v>0</v>
      </c>
      <c r="M52" s="34">
        <f t="shared" si="3"/>
        <v>0</v>
      </c>
      <c r="N52" s="27">
        <v>0</v>
      </c>
      <c r="O52" s="35">
        <v>0</v>
      </c>
    </row>
    <row r="53" spans="1:15" x14ac:dyDescent="0.3">
      <c r="A53" s="88" t="s">
        <v>12</v>
      </c>
      <c r="B53" s="13" t="s">
        <v>12</v>
      </c>
      <c r="C53" s="11" t="s">
        <v>285</v>
      </c>
      <c r="D53" s="11"/>
      <c r="E53" s="11"/>
      <c r="F53" s="11">
        <v>1</v>
      </c>
      <c r="G53" s="11"/>
      <c r="H53" s="19">
        <f t="shared" si="0"/>
        <v>1</v>
      </c>
      <c r="J53" s="17" t="s">
        <v>51</v>
      </c>
      <c r="K53" s="11">
        <f t="shared" si="1"/>
        <v>2</v>
      </c>
      <c r="L53" s="11">
        <f t="shared" si="2"/>
        <v>2</v>
      </c>
      <c r="M53" s="34">
        <f t="shared" si="3"/>
        <v>0.21010101010101007</v>
      </c>
      <c r="N53" s="27">
        <v>0.97777777777777775</v>
      </c>
      <c r="O53" s="35">
        <v>0.59393939393939388</v>
      </c>
    </row>
    <row r="54" spans="1:15" x14ac:dyDescent="0.3">
      <c r="A54" s="88"/>
      <c r="B54" s="13" t="s">
        <v>12</v>
      </c>
      <c r="C54" s="11" t="s">
        <v>299</v>
      </c>
      <c r="D54" s="11"/>
      <c r="E54" s="11"/>
      <c r="F54" s="11">
        <v>1</v>
      </c>
      <c r="G54" s="11"/>
      <c r="H54" s="19">
        <f t="shared" si="0"/>
        <v>1</v>
      </c>
      <c r="J54" s="17" t="s">
        <v>52</v>
      </c>
      <c r="K54" s="11">
        <f t="shared" si="1"/>
        <v>0</v>
      </c>
      <c r="L54" s="11">
        <f t="shared" si="2"/>
        <v>0</v>
      </c>
      <c r="M54" s="34">
        <f t="shared" si="3"/>
        <v>0</v>
      </c>
      <c r="N54" s="27">
        <v>0.97857142857142865</v>
      </c>
      <c r="O54" s="35">
        <v>0.48928571428571432</v>
      </c>
    </row>
    <row r="55" spans="1:15" x14ac:dyDescent="0.3">
      <c r="A55" s="88"/>
      <c r="B55" s="13" t="s">
        <v>12</v>
      </c>
      <c r="C55" s="11" t="s">
        <v>303</v>
      </c>
      <c r="D55" s="11"/>
      <c r="E55" s="11"/>
      <c r="F55" s="11">
        <v>1</v>
      </c>
      <c r="G55" s="11"/>
      <c r="H55" s="19">
        <f t="shared" si="0"/>
        <v>1</v>
      </c>
      <c r="J55" s="15" t="s">
        <v>53</v>
      </c>
      <c r="K55" s="11">
        <f t="shared" si="1"/>
        <v>0</v>
      </c>
      <c r="L55" s="11">
        <f t="shared" si="2"/>
        <v>0</v>
      </c>
      <c r="M55" s="34">
        <f t="shared" si="3"/>
        <v>0</v>
      </c>
      <c r="N55" s="27">
        <v>0.5444444444444444</v>
      </c>
      <c r="O55" s="35">
        <v>0.2722222222222222</v>
      </c>
    </row>
    <row r="56" spans="1:15" x14ac:dyDescent="0.3">
      <c r="A56" s="15" t="s">
        <v>13</v>
      </c>
      <c r="B56" s="15" t="s">
        <v>13</v>
      </c>
      <c r="C56" s="11" t="s">
        <v>278</v>
      </c>
      <c r="D56" s="11"/>
      <c r="E56" s="11"/>
      <c r="F56" s="11">
        <v>1</v>
      </c>
      <c r="G56" s="11"/>
      <c r="H56" s="19">
        <f t="shared" si="0"/>
        <v>1</v>
      </c>
      <c r="J56" s="17" t="s">
        <v>54</v>
      </c>
      <c r="K56" s="11">
        <f t="shared" si="1"/>
        <v>0</v>
      </c>
      <c r="L56" s="11">
        <f t="shared" si="2"/>
        <v>0</v>
      </c>
      <c r="M56" s="34">
        <f t="shared" si="3"/>
        <v>0</v>
      </c>
      <c r="N56" s="27">
        <v>0.53373015873015872</v>
      </c>
      <c r="O56" s="35">
        <v>0.26686507936507936</v>
      </c>
    </row>
    <row r="57" spans="1:15" x14ac:dyDescent="0.3">
      <c r="A57" s="15" t="s">
        <v>14</v>
      </c>
      <c r="B57" s="15"/>
      <c r="C57" s="11"/>
      <c r="D57" s="11"/>
      <c r="E57" s="11"/>
      <c r="F57" s="11"/>
      <c r="G57" s="11"/>
      <c r="H57" s="19">
        <f t="shared" si="0"/>
        <v>0</v>
      </c>
      <c r="J57" s="17" t="s">
        <v>55</v>
      </c>
      <c r="K57" s="11">
        <f t="shared" si="1"/>
        <v>0</v>
      </c>
      <c r="L57" s="11">
        <f t="shared" si="2"/>
        <v>0</v>
      </c>
      <c r="M57" s="34">
        <f t="shared" si="3"/>
        <v>0</v>
      </c>
      <c r="N57" s="27">
        <v>0.95714285714285718</v>
      </c>
      <c r="O57" s="35">
        <v>0.47857142857142859</v>
      </c>
    </row>
    <row r="58" spans="1:15" x14ac:dyDescent="0.3">
      <c r="A58" s="88" t="s">
        <v>15</v>
      </c>
      <c r="B58" s="13" t="s">
        <v>15</v>
      </c>
      <c r="C58" s="11" t="s">
        <v>274</v>
      </c>
      <c r="D58" s="11"/>
      <c r="E58" s="11"/>
      <c r="F58" s="11">
        <v>1</v>
      </c>
      <c r="G58" s="11"/>
      <c r="H58" s="19">
        <f t="shared" si="0"/>
        <v>1</v>
      </c>
      <c r="J58" s="15" t="s">
        <v>56</v>
      </c>
      <c r="K58" s="11">
        <f t="shared" si="1"/>
        <v>1</v>
      </c>
      <c r="L58" s="11">
        <f t="shared" si="2"/>
        <v>1</v>
      </c>
      <c r="M58" s="34">
        <f t="shared" si="3"/>
        <v>0.10505050505050503</v>
      </c>
      <c r="N58" s="27">
        <v>0.95158730158730165</v>
      </c>
      <c r="O58" s="35">
        <v>0.5283189033189033</v>
      </c>
    </row>
    <row r="59" spans="1:15" x14ac:dyDescent="0.3">
      <c r="A59" s="88"/>
      <c r="B59" s="13" t="s">
        <v>15</v>
      </c>
      <c r="C59" s="11" t="s">
        <v>287</v>
      </c>
      <c r="D59" s="11"/>
      <c r="E59" s="11"/>
      <c r="F59" s="11">
        <v>1</v>
      </c>
      <c r="G59" s="11"/>
      <c r="H59" s="19">
        <f t="shared" si="0"/>
        <v>1</v>
      </c>
      <c r="J59" s="15" t="s">
        <v>57</v>
      </c>
      <c r="K59" s="11">
        <f t="shared" si="1"/>
        <v>3</v>
      </c>
      <c r="L59" s="11">
        <f t="shared" si="2"/>
        <v>2</v>
      </c>
      <c r="M59" s="34">
        <f t="shared" si="3"/>
        <v>0.23737373737373735</v>
      </c>
      <c r="N59" s="27">
        <v>0.97619047619047616</v>
      </c>
      <c r="O59" s="35">
        <v>0.60678210678210676</v>
      </c>
    </row>
    <row r="60" spans="1:15" x14ac:dyDescent="0.3">
      <c r="A60" s="15" t="s">
        <v>16</v>
      </c>
      <c r="B60" s="15" t="s">
        <v>16</v>
      </c>
      <c r="C60" s="11" t="s">
        <v>282</v>
      </c>
      <c r="D60" s="11"/>
      <c r="E60" s="11"/>
      <c r="F60" s="11">
        <v>1</v>
      </c>
      <c r="G60" s="11"/>
      <c r="H60" s="19">
        <f t="shared" si="0"/>
        <v>1</v>
      </c>
      <c r="J60" s="15" t="s">
        <v>58</v>
      </c>
      <c r="K60" s="11">
        <f t="shared" si="1"/>
        <v>0</v>
      </c>
      <c r="L60" s="11">
        <f t="shared" si="2"/>
        <v>0</v>
      </c>
      <c r="M60" s="34">
        <f t="shared" si="3"/>
        <v>0</v>
      </c>
      <c r="N60" s="27">
        <v>0.65952380952380951</v>
      </c>
      <c r="O60" s="35">
        <v>0.32976190476190476</v>
      </c>
    </row>
    <row r="61" spans="1:15" x14ac:dyDescent="0.3">
      <c r="A61" s="89" t="s">
        <v>17</v>
      </c>
      <c r="B61" s="16" t="s">
        <v>17</v>
      </c>
      <c r="C61" s="11" t="s">
        <v>257</v>
      </c>
      <c r="D61" s="11"/>
      <c r="E61" s="11"/>
      <c r="F61" s="11">
        <v>1</v>
      </c>
      <c r="G61" s="11"/>
      <c r="H61" s="19">
        <f t="shared" si="0"/>
        <v>1</v>
      </c>
      <c r="J61" s="15" t="s">
        <v>59</v>
      </c>
      <c r="K61" s="11">
        <f t="shared" si="1"/>
        <v>1</v>
      </c>
      <c r="L61" s="11">
        <f t="shared" si="2"/>
        <v>1</v>
      </c>
      <c r="M61" s="34">
        <f t="shared" si="3"/>
        <v>0.10505050505050503</v>
      </c>
      <c r="N61" s="27">
        <v>0.57420634920634916</v>
      </c>
      <c r="O61" s="35">
        <v>0.33962842712842711</v>
      </c>
    </row>
    <row r="62" spans="1:15" x14ac:dyDescent="0.3">
      <c r="A62" s="89"/>
      <c r="B62" s="16" t="s">
        <v>17</v>
      </c>
      <c r="C62" s="11" t="s">
        <v>261</v>
      </c>
      <c r="D62" s="11"/>
      <c r="E62" s="11"/>
      <c r="F62" s="11">
        <v>1</v>
      </c>
      <c r="G62" s="11"/>
      <c r="H62" s="19">
        <f t="shared" si="0"/>
        <v>1</v>
      </c>
    </row>
    <row r="63" spans="1:15" x14ac:dyDescent="0.3">
      <c r="A63" s="17" t="s">
        <v>18</v>
      </c>
      <c r="B63" s="17" t="s">
        <v>18</v>
      </c>
      <c r="C63" s="11" t="s">
        <v>277</v>
      </c>
      <c r="D63" s="11"/>
      <c r="E63" s="11"/>
      <c r="F63" s="11">
        <v>1</v>
      </c>
      <c r="G63" s="11"/>
      <c r="H63" s="19">
        <f t="shared" si="0"/>
        <v>1</v>
      </c>
    </row>
    <row r="64" spans="1:15" x14ac:dyDescent="0.3">
      <c r="A64" s="17" t="s">
        <v>19</v>
      </c>
      <c r="B64" s="17" t="s">
        <v>19</v>
      </c>
      <c r="C64" s="11" t="s">
        <v>279</v>
      </c>
      <c r="D64" s="11"/>
      <c r="E64" s="11"/>
      <c r="F64" s="11">
        <v>1</v>
      </c>
      <c r="G64" s="11"/>
      <c r="H64" s="19">
        <f t="shared" si="0"/>
        <v>1</v>
      </c>
    </row>
    <row r="65" spans="1:8" x14ac:dyDescent="0.3">
      <c r="A65" s="88" t="s">
        <v>20</v>
      </c>
      <c r="B65" s="13" t="s">
        <v>20</v>
      </c>
      <c r="C65" s="11" t="s">
        <v>240</v>
      </c>
      <c r="D65" s="11">
        <v>1</v>
      </c>
      <c r="E65" s="11"/>
      <c r="F65" s="11"/>
      <c r="G65" s="11"/>
      <c r="H65" s="19">
        <f t="shared" si="0"/>
        <v>1</v>
      </c>
    </row>
    <row r="66" spans="1:8" x14ac:dyDescent="0.3">
      <c r="A66" s="88"/>
      <c r="B66" s="13" t="s">
        <v>20</v>
      </c>
      <c r="C66" s="11" t="s">
        <v>275</v>
      </c>
      <c r="D66" s="11"/>
      <c r="E66" s="11"/>
      <c r="F66" s="11">
        <v>1</v>
      </c>
      <c r="G66" s="11"/>
      <c r="H66" s="19">
        <f t="shared" si="0"/>
        <v>1</v>
      </c>
    </row>
    <row r="67" spans="1:8" x14ac:dyDescent="0.3">
      <c r="A67" s="88"/>
      <c r="B67" s="13" t="s">
        <v>20</v>
      </c>
      <c r="C67" s="11" t="s">
        <v>289</v>
      </c>
      <c r="D67" s="11"/>
      <c r="E67" s="11"/>
      <c r="F67" s="11">
        <v>1</v>
      </c>
      <c r="G67" s="11"/>
      <c r="H67" s="19">
        <f t="shared" ref="H67:H130" si="5">SUM(D67:G67)</f>
        <v>1</v>
      </c>
    </row>
    <row r="68" spans="1:8" x14ac:dyDescent="0.3">
      <c r="A68" s="88"/>
      <c r="B68" s="13" t="s">
        <v>20</v>
      </c>
      <c r="C68" s="11" t="s">
        <v>301</v>
      </c>
      <c r="D68" s="11"/>
      <c r="E68" s="11"/>
      <c r="F68" s="11">
        <v>1</v>
      </c>
      <c r="G68" s="11"/>
      <c r="H68" s="19">
        <f t="shared" si="5"/>
        <v>1</v>
      </c>
    </row>
    <row r="69" spans="1:8" x14ac:dyDescent="0.3">
      <c r="A69" s="88"/>
      <c r="B69" s="13" t="s">
        <v>20</v>
      </c>
      <c r="C69" s="11" t="s">
        <v>318</v>
      </c>
      <c r="D69" s="11"/>
      <c r="E69" s="11"/>
      <c r="F69" s="11"/>
      <c r="G69" s="11">
        <v>1</v>
      </c>
      <c r="H69" s="19">
        <f t="shared" si="5"/>
        <v>1</v>
      </c>
    </row>
    <row r="70" spans="1:8" x14ac:dyDescent="0.3">
      <c r="A70" s="88"/>
      <c r="B70" s="13" t="s">
        <v>20</v>
      </c>
      <c r="C70" s="11" t="s">
        <v>324</v>
      </c>
      <c r="D70" s="11"/>
      <c r="E70" s="11"/>
      <c r="F70" s="11"/>
      <c r="G70" s="11">
        <v>1</v>
      </c>
      <c r="H70" s="19">
        <f t="shared" si="5"/>
        <v>1</v>
      </c>
    </row>
    <row r="71" spans="1:8" x14ac:dyDescent="0.3">
      <c r="A71" s="15" t="s">
        <v>21</v>
      </c>
      <c r="B71" s="15"/>
      <c r="C71" s="11"/>
      <c r="D71" s="11"/>
      <c r="E71" s="11"/>
      <c r="F71" s="11"/>
      <c r="G71" s="11"/>
      <c r="H71" s="19">
        <f t="shared" si="5"/>
        <v>0</v>
      </c>
    </row>
    <row r="72" spans="1:8" x14ac:dyDescent="0.3">
      <c r="A72" s="15" t="s">
        <v>22</v>
      </c>
      <c r="B72" s="15"/>
      <c r="C72" s="11"/>
      <c r="D72" s="11"/>
      <c r="E72" s="11"/>
      <c r="F72" s="11"/>
      <c r="G72" s="11"/>
      <c r="H72" s="19">
        <f t="shared" si="5"/>
        <v>0</v>
      </c>
    </row>
    <row r="73" spans="1:8" x14ac:dyDescent="0.3">
      <c r="A73" s="15" t="s">
        <v>23</v>
      </c>
      <c r="B73" s="15"/>
      <c r="C73" s="11"/>
      <c r="D73" s="11"/>
      <c r="E73" s="11"/>
      <c r="F73" s="11"/>
      <c r="G73" s="11"/>
      <c r="H73" s="19">
        <f t="shared" si="5"/>
        <v>0</v>
      </c>
    </row>
    <row r="74" spans="1:8" x14ac:dyDescent="0.3">
      <c r="A74" s="15" t="s">
        <v>24</v>
      </c>
      <c r="B74" s="15"/>
      <c r="C74" s="11"/>
      <c r="D74" s="11"/>
      <c r="E74" s="11"/>
      <c r="F74" s="11"/>
      <c r="G74" s="11"/>
      <c r="H74" s="19">
        <f t="shared" si="5"/>
        <v>0</v>
      </c>
    </row>
    <row r="75" spans="1:8" x14ac:dyDescent="0.3">
      <c r="A75" s="17" t="s">
        <v>25</v>
      </c>
      <c r="B75" s="17"/>
      <c r="C75" s="11"/>
      <c r="D75" s="11"/>
      <c r="E75" s="11"/>
      <c r="F75" s="11"/>
      <c r="G75" s="11"/>
      <c r="H75" s="19">
        <f t="shared" si="5"/>
        <v>0</v>
      </c>
    </row>
    <row r="76" spans="1:8" x14ac:dyDescent="0.3">
      <c r="A76" s="88" t="s">
        <v>26</v>
      </c>
      <c r="B76" s="13" t="s">
        <v>26</v>
      </c>
      <c r="C76" s="11" t="s">
        <v>298</v>
      </c>
      <c r="D76" s="11">
        <v>1</v>
      </c>
      <c r="E76" s="11"/>
      <c r="F76" s="11">
        <v>1</v>
      </c>
      <c r="G76" s="11">
        <v>1</v>
      </c>
      <c r="H76" s="19">
        <f t="shared" si="5"/>
        <v>3</v>
      </c>
    </row>
    <row r="77" spans="1:8" x14ac:dyDescent="0.3">
      <c r="A77" s="88"/>
      <c r="B77" s="13" t="s">
        <v>26</v>
      </c>
      <c r="C77" s="11" t="s">
        <v>254</v>
      </c>
      <c r="D77" s="11"/>
      <c r="E77" s="11"/>
      <c r="F77" s="11"/>
      <c r="G77" s="11"/>
      <c r="H77" s="19">
        <f t="shared" si="5"/>
        <v>0</v>
      </c>
    </row>
    <row r="78" spans="1:8" x14ac:dyDescent="0.3">
      <c r="A78" s="88"/>
      <c r="B78" s="13" t="s">
        <v>26</v>
      </c>
      <c r="C78" s="11" t="s">
        <v>267</v>
      </c>
      <c r="D78" s="11"/>
      <c r="E78" s="11"/>
      <c r="F78" s="11">
        <v>1</v>
      </c>
      <c r="G78" s="11"/>
      <c r="H78" s="19">
        <f t="shared" si="5"/>
        <v>1</v>
      </c>
    </row>
    <row r="79" spans="1:8" x14ac:dyDescent="0.3">
      <c r="A79" s="15" t="s">
        <v>27</v>
      </c>
      <c r="B79" s="15"/>
      <c r="C79" s="11"/>
      <c r="D79" s="11"/>
      <c r="E79" s="11"/>
      <c r="F79" s="11"/>
      <c r="G79" s="11"/>
      <c r="H79" s="19">
        <f t="shared" si="5"/>
        <v>0</v>
      </c>
    </row>
    <row r="80" spans="1:8" x14ac:dyDescent="0.3">
      <c r="A80" s="15" t="s">
        <v>28</v>
      </c>
      <c r="B80" s="15"/>
      <c r="C80" s="11"/>
      <c r="D80" s="11"/>
      <c r="E80" s="11"/>
      <c r="F80" s="11"/>
      <c r="G80" s="11"/>
      <c r="H80" s="19">
        <f t="shared" si="5"/>
        <v>0</v>
      </c>
    </row>
    <row r="81" spans="1:8" x14ac:dyDescent="0.3">
      <c r="A81" s="88" t="s">
        <v>29</v>
      </c>
      <c r="B81" s="13" t="s">
        <v>29</v>
      </c>
      <c r="C81" s="11" t="s">
        <v>292</v>
      </c>
      <c r="D81" s="11"/>
      <c r="E81" s="11"/>
      <c r="F81" s="11">
        <v>1</v>
      </c>
      <c r="G81" s="11"/>
      <c r="H81" s="19">
        <f t="shared" si="5"/>
        <v>1</v>
      </c>
    </row>
    <row r="82" spans="1:8" x14ac:dyDescent="0.3">
      <c r="A82" s="88"/>
      <c r="B82" s="13" t="s">
        <v>29</v>
      </c>
      <c r="C82" s="11" t="s">
        <v>316</v>
      </c>
      <c r="D82" s="11"/>
      <c r="E82" s="11"/>
      <c r="F82" s="11"/>
      <c r="G82" s="11">
        <v>1</v>
      </c>
      <c r="H82" s="19">
        <f t="shared" si="5"/>
        <v>1</v>
      </c>
    </row>
    <row r="83" spans="1:8" x14ac:dyDescent="0.3">
      <c r="A83" s="88"/>
      <c r="B83" s="13" t="s">
        <v>29</v>
      </c>
      <c r="C83" s="11" t="s">
        <v>327</v>
      </c>
      <c r="D83" s="11"/>
      <c r="E83" s="11"/>
      <c r="F83" s="11"/>
      <c r="G83" s="11">
        <v>1</v>
      </c>
      <c r="H83" s="19">
        <f t="shared" si="5"/>
        <v>1</v>
      </c>
    </row>
    <row r="84" spans="1:8" x14ac:dyDescent="0.3">
      <c r="A84" s="89" t="s">
        <v>30</v>
      </c>
      <c r="B84" s="16" t="s">
        <v>30</v>
      </c>
      <c r="C84" s="11" t="s">
        <v>236</v>
      </c>
      <c r="D84" s="11">
        <v>1</v>
      </c>
      <c r="E84" s="11"/>
      <c r="F84" s="11"/>
      <c r="G84" s="11"/>
      <c r="H84" s="19">
        <f t="shared" si="5"/>
        <v>1</v>
      </c>
    </row>
    <row r="85" spans="1:8" x14ac:dyDescent="0.3">
      <c r="A85" s="89"/>
      <c r="B85" s="16" t="s">
        <v>30</v>
      </c>
      <c r="C85" s="11" t="s">
        <v>243</v>
      </c>
      <c r="D85" s="11">
        <v>1</v>
      </c>
      <c r="E85" s="11">
        <v>1</v>
      </c>
      <c r="F85" s="11">
        <v>1</v>
      </c>
      <c r="G85" s="11"/>
      <c r="H85" s="19">
        <f t="shared" si="5"/>
        <v>3</v>
      </c>
    </row>
    <row r="86" spans="1:8" x14ac:dyDescent="0.3">
      <c r="A86" s="89"/>
      <c r="B86" s="16" t="s">
        <v>30</v>
      </c>
      <c r="C86" s="11" t="s">
        <v>260</v>
      </c>
      <c r="D86" s="11"/>
      <c r="E86" s="11"/>
      <c r="F86" s="11">
        <v>1</v>
      </c>
      <c r="G86" s="11"/>
      <c r="H86" s="19">
        <f t="shared" si="5"/>
        <v>1</v>
      </c>
    </row>
    <row r="87" spans="1:8" x14ac:dyDescent="0.3">
      <c r="A87" s="89"/>
      <c r="B87" s="16" t="s">
        <v>30</v>
      </c>
      <c r="C87" s="11" t="s">
        <v>293</v>
      </c>
      <c r="D87" s="11"/>
      <c r="E87" s="11"/>
      <c r="F87" s="11">
        <v>1</v>
      </c>
      <c r="G87" s="11"/>
      <c r="H87" s="19">
        <f t="shared" si="5"/>
        <v>1</v>
      </c>
    </row>
    <row r="88" spans="1:8" x14ac:dyDescent="0.3">
      <c r="A88" s="89"/>
      <c r="B88" s="16" t="s">
        <v>30</v>
      </c>
      <c r="C88" s="11" t="s">
        <v>305</v>
      </c>
      <c r="D88" s="11"/>
      <c r="E88" s="11"/>
      <c r="F88" s="11">
        <v>1</v>
      </c>
      <c r="G88" s="11"/>
      <c r="H88" s="19">
        <f t="shared" si="5"/>
        <v>1</v>
      </c>
    </row>
    <row r="89" spans="1:8" x14ac:dyDescent="0.3">
      <c r="A89" s="89"/>
      <c r="B89" s="16" t="s">
        <v>30</v>
      </c>
      <c r="C89" s="11" t="s">
        <v>307</v>
      </c>
      <c r="D89" s="11"/>
      <c r="E89" s="11"/>
      <c r="F89" s="11">
        <v>1</v>
      </c>
      <c r="G89" s="11"/>
      <c r="H89" s="19">
        <f t="shared" si="5"/>
        <v>1</v>
      </c>
    </row>
    <row r="90" spans="1:8" x14ac:dyDescent="0.3">
      <c r="A90" s="89"/>
      <c r="B90" s="16" t="s">
        <v>30</v>
      </c>
      <c r="C90" s="11" t="s">
        <v>317</v>
      </c>
      <c r="D90" s="11"/>
      <c r="E90" s="11"/>
      <c r="F90" s="11"/>
      <c r="G90" s="11">
        <v>1</v>
      </c>
      <c r="H90" s="19">
        <f t="shared" si="5"/>
        <v>1</v>
      </c>
    </row>
    <row r="91" spans="1:8" x14ac:dyDescent="0.3">
      <c r="A91" s="89"/>
      <c r="B91" s="16" t="s">
        <v>30</v>
      </c>
      <c r="C91" s="11" t="s">
        <v>323</v>
      </c>
      <c r="D91" s="11"/>
      <c r="E91" s="11"/>
      <c r="F91" s="11"/>
      <c r="G91" s="11">
        <v>1</v>
      </c>
      <c r="H91" s="19">
        <f t="shared" si="5"/>
        <v>1</v>
      </c>
    </row>
    <row r="92" spans="1:8" x14ac:dyDescent="0.3">
      <c r="A92" s="89"/>
      <c r="B92" s="16" t="s">
        <v>30</v>
      </c>
      <c r="C92" s="11" t="s">
        <v>329</v>
      </c>
      <c r="D92" s="11"/>
      <c r="E92" s="11"/>
      <c r="F92" s="11"/>
      <c r="G92" s="11">
        <v>1</v>
      </c>
      <c r="H92" s="19">
        <f t="shared" si="5"/>
        <v>1</v>
      </c>
    </row>
    <row r="93" spans="1:8" x14ac:dyDescent="0.3">
      <c r="A93" s="15" t="s">
        <v>31</v>
      </c>
      <c r="B93" s="15"/>
      <c r="C93" s="11"/>
      <c r="D93" s="11"/>
      <c r="E93" s="11"/>
      <c r="F93" s="11"/>
      <c r="G93" s="11"/>
      <c r="H93" s="19">
        <f t="shared" si="5"/>
        <v>0</v>
      </c>
    </row>
    <row r="94" spans="1:8" x14ac:dyDescent="0.3">
      <c r="A94" s="88" t="s">
        <v>32</v>
      </c>
      <c r="B94" s="13" t="s">
        <v>32</v>
      </c>
      <c r="C94" s="11" t="s">
        <v>246</v>
      </c>
      <c r="D94" s="11">
        <v>1</v>
      </c>
      <c r="E94" s="11"/>
      <c r="F94" s="11"/>
      <c r="G94" s="11"/>
      <c r="H94" s="19">
        <f t="shared" si="5"/>
        <v>1</v>
      </c>
    </row>
    <row r="95" spans="1:8" x14ac:dyDescent="0.3">
      <c r="A95" s="88"/>
      <c r="B95" s="13" t="s">
        <v>32</v>
      </c>
      <c r="C95" s="11" t="s">
        <v>255</v>
      </c>
      <c r="D95" s="11"/>
      <c r="E95" s="11"/>
      <c r="F95" s="11">
        <v>1</v>
      </c>
      <c r="G95" s="11">
        <v>1</v>
      </c>
      <c r="H95" s="19">
        <f t="shared" si="5"/>
        <v>2</v>
      </c>
    </row>
    <row r="96" spans="1:8" x14ac:dyDescent="0.3">
      <c r="A96" s="88"/>
      <c r="B96" s="13" t="s">
        <v>32</v>
      </c>
      <c r="C96" s="11" t="s">
        <v>284</v>
      </c>
      <c r="D96" s="11"/>
      <c r="E96" s="11"/>
      <c r="F96" s="11">
        <v>1</v>
      </c>
      <c r="G96" s="11"/>
      <c r="H96" s="19">
        <f t="shared" si="5"/>
        <v>1</v>
      </c>
    </row>
    <row r="97" spans="1:8" x14ac:dyDescent="0.3">
      <c r="A97" s="88"/>
      <c r="B97" s="13" t="s">
        <v>32</v>
      </c>
      <c r="C97" s="11" t="s">
        <v>322</v>
      </c>
      <c r="D97" s="11"/>
      <c r="E97" s="11"/>
      <c r="F97" s="11"/>
      <c r="G97" s="11">
        <v>1</v>
      </c>
      <c r="H97" s="19">
        <f t="shared" si="5"/>
        <v>1</v>
      </c>
    </row>
    <row r="98" spans="1:8" x14ac:dyDescent="0.3">
      <c r="A98" s="88" t="s">
        <v>33</v>
      </c>
      <c r="B98" s="13" t="s">
        <v>33</v>
      </c>
      <c r="C98" s="11" t="s">
        <v>248</v>
      </c>
      <c r="D98" s="11"/>
      <c r="E98" s="11">
        <v>1</v>
      </c>
      <c r="F98" s="11"/>
      <c r="G98" s="11"/>
      <c r="H98" s="19">
        <f t="shared" si="5"/>
        <v>1</v>
      </c>
    </row>
    <row r="99" spans="1:8" x14ac:dyDescent="0.3">
      <c r="A99" s="88"/>
      <c r="B99" s="13" t="s">
        <v>33</v>
      </c>
      <c r="C99" s="11" t="s">
        <v>291</v>
      </c>
      <c r="D99" s="11"/>
      <c r="E99" s="11"/>
      <c r="F99" s="11">
        <v>1</v>
      </c>
      <c r="G99" s="11"/>
      <c r="H99" s="19">
        <f t="shared" si="5"/>
        <v>1</v>
      </c>
    </row>
    <row r="100" spans="1:8" x14ac:dyDescent="0.3">
      <c r="A100" s="17" t="s">
        <v>34</v>
      </c>
      <c r="B100" s="17" t="s">
        <v>34</v>
      </c>
      <c r="C100" s="11" t="s">
        <v>283</v>
      </c>
      <c r="D100" s="11"/>
      <c r="E100" s="11"/>
      <c r="F100" s="11">
        <v>1</v>
      </c>
      <c r="G100" s="11"/>
      <c r="H100" s="19">
        <f t="shared" si="5"/>
        <v>1</v>
      </c>
    </row>
    <row r="101" spans="1:8" x14ac:dyDescent="0.3">
      <c r="A101" s="15" t="s">
        <v>35</v>
      </c>
      <c r="B101" s="15"/>
      <c r="C101" s="11"/>
      <c r="D101" s="11"/>
      <c r="E101" s="11"/>
      <c r="F101" s="11"/>
      <c r="G101" s="11"/>
      <c r="H101" s="19">
        <f t="shared" si="5"/>
        <v>0</v>
      </c>
    </row>
    <row r="102" spans="1:8" x14ac:dyDescent="0.3">
      <c r="A102" s="15" t="s">
        <v>36</v>
      </c>
      <c r="B102" s="15" t="s">
        <v>36</v>
      </c>
      <c r="C102" s="11" t="s">
        <v>335</v>
      </c>
      <c r="D102" s="11"/>
      <c r="E102" s="11"/>
      <c r="F102" s="11"/>
      <c r="G102" s="11">
        <v>1</v>
      </c>
      <c r="H102" s="19">
        <f t="shared" si="5"/>
        <v>1</v>
      </c>
    </row>
    <row r="103" spans="1:8" x14ac:dyDescent="0.3">
      <c r="A103" s="88" t="s">
        <v>37</v>
      </c>
      <c r="B103" s="13" t="s">
        <v>37</v>
      </c>
      <c r="C103" s="11" t="s">
        <v>252</v>
      </c>
      <c r="D103" s="11"/>
      <c r="E103" s="11">
        <v>1</v>
      </c>
      <c r="F103" s="11"/>
      <c r="G103" s="11"/>
      <c r="H103" s="19">
        <f t="shared" si="5"/>
        <v>1</v>
      </c>
    </row>
    <row r="104" spans="1:8" x14ac:dyDescent="0.3">
      <c r="A104" s="88"/>
      <c r="B104" s="13" t="s">
        <v>37</v>
      </c>
      <c r="C104" s="11" t="s">
        <v>263</v>
      </c>
      <c r="D104" s="11"/>
      <c r="E104" s="11"/>
      <c r="F104" s="11">
        <v>1</v>
      </c>
      <c r="G104" s="11"/>
      <c r="H104" s="19">
        <f t="shared" si="5"/>
        <v>1</v>
      </c>
    </row>
    <row r="105" spans="1:8" x14ac:dyDescent="0.3">
      <c r="A105" s="88"/>
      <c r="B105" s="13" t="s">
        <v>37</v>
      </c>
      <c r="C105" s="11" t="s">
        <v>200</v>
      </c>
      <c r="D105" s="11"/>
      <c r="E105" s="11"/>
      <c r="F105" s="11">
        <v>1</v>
      </c>
      <c r="G105" s="11"/>
      <c r="H105" s="19">
        <f t="shared" si="5"/>
        <v>1</v>
      </c>
    </row>
    <row r="106" spans="1:8" x14ac:dyDescent="0.3">
      <c r="A106" s="88"/>
      <c r="B106" s="13" t="s">
        <v>37</v>
      </c>
      <c r="C106" s="11" t="s">
        <v>306</v>
      </c>
      <c r="D106" s="11"/>
      <c r="E106" s="11"/>
      <c r="F106" s="11">
        <v>1</v>
      </c>
      <c r="G106" s="11"/>
      <c r="H106" s="19">
        <f t="shared" si="5"/>
        <v>1</v>
      </c>
    </row>
    <row r="107" spans="1:8" x14ac:dyDescent="0.3">
      <c r="A107" s="88"/>
      <c r="B107" s="13" t="s">
        <v>37</v>
      </c>
      <c r="C107" s="11" t="s">
        <v>312</v>
      </c>
      <c r="D107" s="11"/>
      <c r="E107" s="11"/>
      <c r="F107" s="11"/>
      <c r="G107" s="11">
        <v>1</v>
      </c>
      <c r="H107" s="19">
        <f t="shared" si="5"/>
        <v>1</v>
      </c>
    </row>
    <row r="108" spans="1:8" x14ac:dyDescent="0.3">
      <c r="A108" s="88"/>
      <c r="B108" s="13" t="s">
        <v>37</v>
      </c>
      <c r="C108" s="11" t="s">
        <v>330</v>
      </c>
      <c r="D108" s="11"/>
      <c r="E108" s="11"/>
      <c r="F108" s="11"/>
      <c r="G108" s="11">
        <v>1</v>
      </c>
      <c r="H108" s="19">
        <f t="shared" si="5"/>
        <v>1</v>
      </c>
    </row>
    <row r="109" spans="1:8" x14ac:dyDescent="0.3">
      <c r="A109" s="15" t="s">
        <v>38</v>
      </c>
      <c r="B109" s="15"/>
      <c r="C109" s="11" t="s">
        <v>249</v>
      </c>
      <c r="D109" s="11"/>
      <c r="E109" s="11">
        <v>1</v>
      </c>
      <c r="F109" s="11">
        <v>1</v>
      </c>
      <c r="G109" s="11"/>
      <c r="H109" s="19">
        <f t="shared" si="5"/>
        <v>2</v>
      </c>
    </row>
    <row r="110" spans="1:8" x14ac:dyDescent="0.3">
      <c r="A110" s="15" t="s">
        <v>39</v>
      </c>
      <c r="B110" s="15"/>
      <c r="C110" s="11"/>
      <c r="D110" s="11"/>
      <c r="E110" s="11"/>
      <c r="F110" s="11"/>
      <c r="G110" s="11"/>
      <c r="H110" s="19">
        <f t="shared" si="5"/>
        <v>0</v>
      </c>
    </row>
    <row r="111" spans="1:8" x14ac:dyDescent="0.3">
      <c r="A111" s="17" t="s">
        <v>40</v>
      </c>
      <c r="B111" s="17"/>
      <c r="C111" s="11"/>
      <c r="D111" s="11"/>
      <c r="E111" s="11"/>
      <c r="F111" s="11"/>
      <c r="G111" s="11"/>
      <c r="H111" s="19">
        <f t="shared" si="5"/>
        <v>0</v>
      </c>
    </row>
    <row r="112" spans="1:8" x14ac:dyDescent="0.3">
      <c r="A112" s="17" t="s">
        <v>41</v>
      </c>
      <c r="B112" s="17"/>
      <c r="C112" s="11"/>
      <c r="D112" s="11"/>
      <c r="E112" s="11"/>
      <c r="F112" s="11"/>
      <c r="G112" s="11"/>
      <c r="H112" s="19">
        <f t="shared" si="5"/>
        <v>0</v>
      </c>
    </row>
    <row r="113" spans="1:8" x14ac:dyDescent="0.3">
      <c r="A113" s="17" t="s">
        <v>42</v>
      </c>
      <c r="B113" s="17"/>
      <c r="C113" s="11"/>
      <c r="D113" s="11"/>
      <c r="E113" s="11"/>
      <c r="F113" s="11"/>
      <c r="G113" s="11"/>
      <c r="H113" s="19">
        <f t="shared" si="5"/>
        <v>0</v>
      </c>
    </row>
    <row r="114" spans="1:8" x14ac:dyDescent="0.3">
      <c r="A114" s="88" t="s">
        <v>43</v>
      </c>
      <c r="B114" s="13" t="s">
        <v>43</v>
      </c>
      <c r="C114" s="11" t="s">
        <v>266</v>
      </c>
      <c r="D114" s="11"/>
      <c r="E114" s="11"/>
      <c r="F114" s="11">
        <v>1</v>
      </c>
      <c r="G114" s="11"/>
      <c r="H114" s="19">
        <f t="shared" si="5"/>
        <v>1</v>
      </c>
    </row>
    <row r="115" spans="1:8" x14ac:dyDescent="0.3">
      <c r="A115" s="88"/>
      <c r="B115" s="13" t="s">
        <v>43</v>
      </c>
      <c r="C115" s="11" t="s">
        <v>331</v>
      </c>
      <c r="D115" s="11"/>
      <c r="E115" s="11"/>
      <c r="F115" s="11"/>
      <c r="G115" s="11">
        <v>1</v>
      </c>
      <c r="H115" s="19">
        <f t="shared" si="5"/>
        <v>1</v>
      </c>
    </row>
    <row r="116" spans="1:8" x14ac:dyDescent="0.3">
      <c r="A116" s="89" t="s">
        <v>44</v>
      </c>
      <c r="B116" s="16" t="s">
        <v>44</v>
      </c>
      <c r="C116" s="11" t="s">
        <v>256</v>
      </c>
      <c r="D116" s="11"/>
      <c r="E116" s="11"/>
      <c r="F116" s="11">
        <v>1</v>
      </c>
      <c r="G116" s="11"/>
      <c r="H116" s="19">
        <f t="shared" si="5"/>
        <v>1</v>
      </c>
    </row>
    <row r="117" spans="1:8" x14ac:dyDescent="0.3">
      <c r="A117" s="89"/>
      <c r="B117" s="16" t="s">
        <v>44</v>
      </c>
      <c r="C117" s="11" t="s">
        <v>272</v>
      </c>
      <c r="D117" s="11"/>
      <c r="E117" s="11"/>
      <c r="F117" s="11">
        <v>1</v>
      </c>
      <c r="G117" s="11"/>
      <c r="H117" s="19">
        <f t="shared" si="5"/>
        <v>1</v>
      </c>
    </row>
    <row r="118" spans="1:8" x14ac:dyDescent="0.3">
      <c r="A118" s="89"/>
      <c r="B118" s="16" t="s">
        <v>44</v>
      </c>
      <c r="C118" s="11" t="s">
        <v>290</v>
      </c>
      <c r="D118" s="11"/>
      <c r="E118" s="11"/>
      <c r="F118" s="11">
        <v>1</v>
      </c>
      <c r="G118" s="11"/>
      <c r="H118" s="19">
        <f t="shared" si="5"/>
        <v>1</v>
      </c>
    </row>
    <row r="119" spans="1:8" x14ac:dyDescent="0.3">
      <c r="A119" s="89"/>
      <c r="B119" s="16" t="s">
        <v>44</v>
      </c>
      <c r="C119" s="11" t="s">
        <v>333</v>
      </c>
      <c r="D119" s="11"/>
      <c r="E119" s="11"/>
      <c r="F119" s="11"/>
      <c r="G119" s="11">
        <v>1</v>
      </c>
      <c r="H119" s="19">
        <f t="shared" si="5"/>
        <v>1</v>
      </c>
    </row>
    <row r="120" spans="1:8" x14ac:dyDescent="0.3">
      <c r="A120" s="17" t="s">
        <v>45</v>
      </c>
      <c r="B120" s="17"/>
      <c r="C120" s="11"/>
      <c r="D120" s="11"/>
      <c r="E120" s="11"/>
      <c r="F120" s="11"/>
      <c r="G120" s="11"/>
      <c r="H120" s="19">
        <f t="shared" si="5"/>
        <v>0</v>
      </c>
    </row>
    <row r="121" spans="1:8" x14ac:dyDescent="0.3">
      <c r="A121" s="15" t="s">
        <v>46</v>
      </c>
      <c r="B121" s="15" t="s">
        <v>46</v>
      </c>
      <c r="C121" s="11" t="s">
        <v>286</v>
      </c>
      <c r="D121" s="11"/>
      <c r="E121" s="11"/>
      <c r="F121" s="11">
        <v>1</v>
      </c>
      <c r="G121" s="11"/>
      <c r="H121" s="19">
        <f t="shared" si="5"/>
        <v>1</v>
      </c>
    </row>
    <row r="122" spans="1:8" x14ac:dyDescent="0.3">
      <c r="A122" s="15" t="s">
        <v>47</v>
      </c>
      <c r="B122" s="15"/>
      <c r="C122" s="11"/>
      <c r="D122" s="11"/>
      <c r="E122" s="11"/>
      <c r="F122" s="11"/>
      <c r="G122" s="11"/>
      <c r="H122" s="19">
        <f t="shared" si="5"/>
        <v>0</v>
      </c>
    </row>
    <row r="123" spans="1:8" x14ac:dyDescent="0.3">
      <c r="A123" s="15" t="s">
        <v>48</v>
      </c>
      <c r="B123" s="15"/>
      <c r="C123" s="11"/>
      <c r="D123" s="11"/>
      <c r="E123" s="11"/>
      <c r="F123" s="11"/>
      <c r="G123" s="11"/>
      <c r="H123" s="19">
        <f t="shared" si="5"/>
        <v>0</v>
      </c>
    </row>
    <row r="124" spans="1:8" x14ac:dyDescent="0.3">
      <c r="A124" s="15" t="s">
        <v>49</v>
      </c>
      <c r="B124" s="15"/>
      <c r="C124" s="11"/>
      <c r="D124" s="11"/>
      <c r="E124" s="11"/>
      <c r="F124" s="11"/>
      <c r="G124" s="11"/>
      <c r="H124" s="19">
        <f t="shared" si="5"/>
        <v>0</v>
      </c>
    </row>
    <row r="125" spans="1:8" x14ac:dyDescent="0.3">
      <c r="A125" s="15" t="s">
        <v>50</v>
      </c>
      <c r="B125" s="15"/>
      <c r="C125" s="11"/>
      <c r="D125" s="11"/>
      <c r="E125" s="11"/>
      <c r="F125" s="11"/>
      <c r="G125" s="11"/>
      <c r="H125" s="19">
        <f t="shared" si="5"/>
        <v>0</v>
      </c>
    </row>
    <row r="126" spans="1:8" x14ac:dyDescent="0.3">
      <c r="A126" s="88" t="s">
        <v>51</v>
      </c>
      <c r="B126" s="13" t="s">
        <v>51</v>
      </c>
      <c r="C126" s="11" t="s">
        <v>296</v>
      </c>
      <c r="D126" s="11"/>
      <c r="E126" s="11"/>
      <c r="F126" s="11">
        <v>1</v>
      </c>
      <c r="G126" s="11"/>
      <c r="H126" s="19">
        <f t="shared" si="5"/>
        <v>1</v>
      </c>
    </row>
    <row r="127" spans="1:8" x14ac:dyDescent="0.3">
      <c r="A127" s="88"/>
      <c r="B127" s="13" t="s">
        <v>51</v>
      </c>
      <c r="C127" s="11" t="s">
        <v>336</v>
      </c>
      <c r="D127" s="11"/>
      <c r="E127" s="11"/>
      <c r="F127" s="11"/>
      <c r="G127" s="11">
        <v>1</v>
      </c>
      <c r="H127" s="19">
        <f t="shared" si="5"/>
        <v>1</v>
      </c>
    </row>
    <row r="128" spans="1:8" x14ac:dyDescent="0.3">
      <c r="A128" s="17" t="s">
        <v>52</v>
      </c>
      <c r="B128" s="17"/>
      <c r="C128" s="11"/>
      <c r="D128" s="11"/>
      <c r="E128" s="11"/>
      <c r="F128" s="11"/>
      <c r="G128" s="11"/>
      <c r="H128" s="19">
        <f t="shared" si="5"/>
        <v>0</v>
      </c>
    </row>
    <row r="129" spans="1:8" x14ac:dyDescent="0.3">
      <c r="A129" s="15" t="s">
        <v>53</v>
      </c>
      <c r="B129" s="15"/>
      <c r="C129" s="11"/>
      <c r="D129" s="11"/>
      <c r="E129" s="11"/>
      <c r="F129" s="11"/>
      <c r="G129" s="11"/>
      <c r="H129" s="19">
        <f t="shared" si="5"/>
        <v>0</v>
      </c>
    </row>
    <row r="130" spans="1:8" x14ac:dyDescent="0.3">
      <c r="A130" s="17" t="s">
        <v>54</v>
      </c>
      <c r="B130" s="17"/>
      <c r="C130" s="11"/>
      <c r="D130" s="11"/>
      <c r="E130" s="11"/>
      <c r="F130" s="11"/>
      <c r="G130" s="11"/>
      <c r="H130" s="19">
        <f t="shared" si="5"/>
        <v>0</v>
      </c>
    </row>
    <row r="131" spans="1:8" x14ac:dyDescent="0.3">
      <c r="A131" s="17" t="s">
        <v>55</v>
      </c>
      <c r="B131" s="17"/>
      <c r="C131" s="11"/>
      <c r="D131" s="11"/>
      <c r="E131" s="11"/>
      <c r="F131" s="11"/>
      <c r="G131" s="11"/>
      <c r="H131" s="19">
        <f t="shared" ref="H131:H137" si="6">SUM(D131:G131)</f>
        <v>0</v>
      </c>
    </row>
    <row r="132" spans="1:8" x14ac:dyDescent="0.3">
      <c r="A132" s="15" t="s">
        <v>56</v>
      </c>
      <c r="B132" s="15" t="s">
        <v>56</v>
      </c>
      <c r="C132" s="11" t="s">
        <v>315</v>
      </c>
      <c r="D132" s="11"/>
      <c r="E132" s="11"/>
      <c r="F132" s="11"/>
      <c r="G132" s="11">
        <v>1</v>
      </c>
      <c r="H132" s="19">
        <f t="shared" si="6"/>
        <v>1</v>
      </c>
    </row>
    <row r="133" spans="1:8" x14ac:dyDescent="0.3">
      <c r="A133" s="89" t="s">
        <v>57</v>
      </c>
      <c r="B133" s="16" t="s">
        <v>57</v>
      </c>
      <c r="C133" s="11" t="s">
        <v>308</v>
      </c>
      <c r="D133" s="11"/>
      <c r="E133" s="11"/>
      <c r="F133" s="11">
        <v>1</v>
      </c>
      <c r="G133" s="11">
        <v>1</v>
      </c>
      <c r="H133" s="19">
        <f t="shared" si="6"/>
        <v>2</v>
      </c>
    </row>
    <row r="134" spans="1:8" x14ac:dyDescent="0.3">
      <c r="A134" s="89"/>
      <c r="B134" s="16" t="s">
        <v>57</v>
      </c>
      <c r="C134" s="11" t="s">
        <v>310</v>
      </c>
      <c r="D134" s="11"/>
      <c r="E134" s="11"/>
      <c r="F134" s="11">
        <v>1</v>
      </c>
      <c r="G134" s="11"/>
      <c r="H134" s="19">
        <f t="shared" si="6"/>
        <v>1</v>
      </c>
    </row>
    <row r="135" spans="1:8" x14ac:dyDescent="0.3">
      <c r="A135" s="16"/>
      <c r="B135" s="16"/>
      <c r="C135" s="18" t="s">
        <v>326</v>
      </c>
      <c r="D135" s="11"/>
      <c r="E135" s="11"/>
      <c r="F135" s="11"/>
      <c r="G135" s="11">
        <v>1</v>
      </c>
      <c r="H135" s="19">
        <f t="shared" si="6"/>
        <v>1</v>
      </c>
    </row>
    <row r="136" spans="1:8" x14ac:dyDescent="0.3">
      <c r="A136" s="15" t="s">
        <v>58</v>
      </c>
      <c r="B136" s="15"/>
      <c r="C136" s="11"/>
      <c r="D136" s="11"/>
      <c r="E136" s="11"/>
      <c r="F136" s="11"/>
      <c r="G136" s="11"/>
      <c r="H136" s="19">
        <f t="shared" si="6"/>
        <v>0</v>
      </c>
    </row>
    <row r="137" spans="1:8" x14ac:dyDescent="0.3">
      <c r="A137" s="15" t="s">
        <v>59</v>
      </c>
      <c r="B137" s="15" t="s">
        <v>59</v>
      </c>
      <c r="C137" s="11" t="s">
        <v>258</v>
      </c>
      <c r="D137" s="11"/>
      <c r="E137" s="11"/>
      <c r="F137" s="11">
        <v>1</v>
      </c>
      <c r="G137" s="11"/>
      <c r="H137" s="19">
        <f t="shared" si="6"/>
        <v>1</v>
      </c>
    </row>
    <row r="138" spans="1:8" x14ac:dyDescent="0.3">
      <c r="H138" s="36"/>
    </row>
  </sheetData>
  <mergeCells count="29">
    <mergeCell ref="A133:A134"/>
    <mergeCell ref="A19:A24"/>
    <mergeCell ref="A103:A108"/>
    <mergeCell ref="A114:A115"/>
    <mergeCell ref="A31:A32"/>
    <mergeCell ref="A53:A55"/>
    <mergeCell ref="A33:A34"/>
    <mergeCell ref="A58:A59"/>
    <mergeCell ref="A76:A78"/>
    <mergeCell ref="A61:A62"/>
    <mergeCell ref="A98:A99"/>
    <mergeCell ref="A126:A127"/>
    <mergeCell ref="A2:A5"/>
    <mergeCell ref="A81:A83"/>
    <mergeCell ref="A116:A119"/>
    <mergeCell ref="A6:A10"/>
    <mergeCell ref="A25:A30"/>
    <mergeCell ref="A94:A97"/>
    <mergeCell ref="A65:A70"/>
    <mergeCell ref="A44:A50"/>
    <mergeCell ref="A35:A43"/>
    <mergeCell ref="A84:A92"/>
    <mergeCell ref="A11:A16"/>
    <mergeCell ref="A17:A18"/>
    <mergeCell ref="T19:T24"/>
    <mergeCell ref="T2:T5"/>
    <mergeCell ref="T6:T10"/>
    <mergeCell ref="T11:T16"/>
    <mergeCell ref="T17:T18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99D9-53F9-4EB4-A702-8E9B192479C8}">
  <dimension ref="A1:L85"/>
  <sheetViews>
    <sheetView workbookViewId="0">
      <selection activeCell="I30" sqref="I30"/>
    </sheetView>
  </sheetViews>
  <sheetFormatPr defaultRowHeight="14.4" x14ac:dyDescent="0.3"/>
  <cols>
    <col min="1" max="1" width="19.6640625" customWidth="1"/>
    <col min="2" max="2" width="19.6640625" hidden="1" customWidth="1"/>
    <col min="3" max="3" width="21.88671875" customWidth="1"/>
    <col min="4" max="4" width="6.5546875" customWidth="1"/>
    <col min="5" max="5" width="7.33203125" customWidth="1"/>
    <col min="6" max="6" width="7.77734375" customWidth="1"/>
    <col min="7" max="7" width="10.44140625" customWidth="1"/>
    <col min="8" max="8" width="8" customWidth="1"/>
    <col min="10" max="10" width="19.6640625" customWidth="1"/>
    <col min="11" max="11" width="4.77734375" customWidth="1"/>
    <col min="12" max="12" width="4.21875" customWidth="1"/>
  </cols>
  <sheetData>
    <row r="1" spans="1:12" x14ac:dyDescent="0.3">
      <c r="A1" s="10" t="s">
        <v>67</v>
      </c>
      <c r="B1" s="10"/>
      <c r="C1" s="10" t="s">
        <v>359</v>
      </c>
      <c r="D1" s="11" t="s">
        <v>353</v>
      </c>
      <c r="E1" s="11" t="s">
        <v>354</v>
      </c>
      <c r="F1" s="11" t="s">
        <v>355</v>
      </c>
      <c r="G1" s="11" t="s">
        <v>356</v>
      </c>
      <c r="H1" s="10" t="s">
        <v>228</v>
      </c>
      <c r="J1" s="1" t="s">
        <v>67</v>
      </c>
      <c r="K1" s="1" t="s">
        <v>337</v>
      </c>
      <c r="L1" s="1" t="s">
        <v>338</v>
      </c>
    </row>
    <row r="2" spans="1:12" x14ac:dyDescent="0.3">
      <c r="A2" s="85" t="s">
        <v>0</v>
      </c>
      <c r="B2" s="37" t="s">
        <v>0</v>
      </c>
      <c r="C2" s="11" t="s">
        <v>360</v>
      </c>
      <c r="D2" s="11"/>
      <c r="E2" s="11">
        <v>1</v>
      </c>
      <c r="F2" s="11"/>
      <c r="G2" s="11"/>
      <c r="H2" s="11">
        <f>SUM(D2:G2)</f>
        <v>1</v>
      </c>
      <c r="J2" s="5" t="s">
        <v>0</v>
      </c>
      <c r="K2">
        <f>SUMIF(B:B, J2, H:H)</f>
        <v>2</v>
      </c>
      <c r="L2">
        <f>COUNTIF(B:B, J2)</f>
        <v>2</v>
      </c>
    </row>
    <row r="3" spans="1:12" x14ac:dyDescent="0.3">
      <c r="A3" s="85"/>
      <c r="B3" s="37" t="s">
        <v>0</v>
      </c>
      <c r="C3" s="19" t="s">
        <v>367</v>
      </c>
      <c r="D3" s="11"/>
      <c r="E3" s="11"/>
      <c r="F3" s="11"/>
      <c r="G3" s="11">
        <v>1</v>
      </c>
      <c r="H3" s="11">
        <f t="shared" ref="H3:H66" si="0">SUM(D3:G3)</f>
        <v>1</v>
      </c>
      <c r="J3" s="5" t="s">
        <v>1</v>
      </c>
      <c r="K3">
        <f t="shared" ref="K3:K61" si="1">SUMIF(B:B, J3, H:H)</f>
        <v>0</v>
      </c>
      <c r="L3">
        <f t="shared" ref="L3:L61" si="2">COUNTIF(B:B, J3)</f>
        <v>0</v>
      </c>
    </row>
    <row r="4" spans="1:12" x14ac:dyDescent="0.3">
      <c r="A4" s="19" t="s">
        <v>1</v>
      </c>
      <c r="B4" s="19"/>
      <c r="C4" s="11"/>
      <c r="D4" s="11"/>
      <c r="E4" s="11"/>
      <c r="F4" s="11"/>
      <c r="G4" s="11"/>
      <c r="H4" s="11">
        <f t="shared" si="0"/>
        <v>0</v>
      </c>
      <c r="J4" s="5" t="s">
        <v>2</v>
      </c>
      <c r="K4">
        <f t="shared" si="1"/>
        <v>8</v>
      </c>
      <c r="L4">
        <f t="shared" si="2"/>
        <v>6</v>
      </c>
    </row>
    <row r="5" spans="1:12" x14ac:dyDescent="0.3">
      <c r="A5" s="85" t="s">
        <v>2</v>
      </c>
      <c r="B5" s="37" t="s">
        <v>2</v>
      </c>
      <c r="C5" s="11" t="s">
        <v>362</v>
      </c>
      <c r="D5" s="11"/>
      <c r="E5" s="11">
        <v>1</v>
      </c>
      <c r="F5" s="11"/>
      <c r="G5" s="11"/>
      <c r="H5" s="11">
        <f t="shared" si="0"/>
        <v>1</v>
      </c>
      <c r="J5" s="6" t="s">
        <v>3</v>
      </c>
      <c r="K5">
        <f t="shared" si="1"/>
        <v>0</v>
      </c>
      <c r="L5">
        <f t="shared" si="2"/>
        <v>0</v>
      </c>
    </row>
    <row r="6" spans="1:12" x14ac:dyDescent="0.3">
      <c r="A6" s="85"/>
      <c r="B6" s="37" t="s">
        <v>2</v>
      </c>
      <c r="C6" s="11" t="s">
        <v>364</v>
      </c>
      <c r="D6" s="11"/>
      <c r="E6" s="11">
        <v>1</v>
      </c>
      <c r="F6" s="11"/>
      <c r="G6" s="11"/>
      <c r="H6" s="11">
        <f t="shared" si="0"/>
        <v>1</v>
      </c>
      <c r="J6" s="5" t="s">
        <v>4</v>
      </c>
      <c r="K6">
        <f t="shared" si="1"/>
        <v>6</v>
      </c>
      <c r="L6">
        <f t="shared" si="2"/>
        <v>4</v>
      </c>
    </row>
    <row r="7" spans="1:12" x14ac:dyDescent="0.3">
      <c r="A7" s="85"/>
      <c r="B7" s="37" t="s">
        <v>2</v>
      </c>
      <c r="C7" s="11" t="s">
        <v>361</v>
      </c>
      <c r="D7" s="11">
        <v>1</v>
      </c>
      <c r="E7" s="11">
        <v>1</v>
      </c>
      <c r="F7" s="11"/>
      <c r="G7" s="11"/>
      <c r="H7" s="11">
        <f t="shared" si="0"/>
        <v>2</v>
      </c>
      <c r="J7" s="6" t="s">
        <v>5</v>
      </c>
      <c r="K7">
        <f t="shared" si="1"/>
        <v>1</v>
      </c>
      <c r="L7">
        <f t="shared" si="2"/>
        <v>1</v>
      </c>
    </row>
    <row r="8" spans="1:12" x14ac:dyDescent="0.3">
      <c r="A8" s="85"/>
      <c r="B8" s="37" t="s">
        <v>2</v>
      </c>
      <c r="C8" s="11" t="s">
        <v>363</v>
      </c>
      <c r="D8" s="11"/>
      <c r="E8" s="11">
        <v>1</v>
      </c>
      <c r="F8" s="11"/>
      <c r="G8" s="11">
        <v>1</v>
      </c>
      <c r="H8" s="11">
        <f t="shared" si="0"/>
        <v>2</v>
      </c>
      <c r="J8" s="5" t="s">
        <v>6</v>
      </c>
      <c r="K8">
        <f t="shared" si="1"/>
        <v>1</v>
      </c>
      <c r="L8">
        <f t="shared" si="2"/>
        <v>1</v>
      </c>
    </row>
    <row r="9" spans="1:12" x14ac:dyDescent="0.3">
      <c r="A9" s="85"/>
      <c r="B9" s="37" t="s">
        <v>2</v>
      </c>
      <c r="C9" s="11" t="s">
        <v>365</v>
      </c>
      <c r="D9" s="11"/>
      <c r="E9" s="11"/>
      <c r="F9" s="11"/>
      <c r="G9" s="11">
        <v>1</v>
      </c>
      <c r="H9" s="11">
        <f t="shared" si="0"/>
        <v>1</v>
      </c>
      <c r="J9" s="5" t="s">
        <v>7</v>
      </c>
      <c r="K9">
        <f t="shared" si="1"/>
        <v>3</v>
      </c>
      <c r="L9">
        <f t="shared" si="2"/>
        <v>1</v>
      </c>
    </row>
    <row r="10" spans="1:12" x14ac:dyDescent="0.3">
      <c r="A10" s="85"/>
      <c r="B10" s="37" t="s">
        <v>2</v>
      </c>
      <c r="C10" s="11" t="s">
        <v>366</v>
      </c>
      <c r="D10" s="11"/>
      <c r="E10" s="11"/>
      <c r="F10" s="11"/>
      <c r="G10" s="11">
        <v>1</v>
      </c>
      <c r="H10" s="11">
        <f t="shared" si="0"/>
        <v>1</v>
      </c>
      <c r="J10" s="5" t="s">
        <v>8</v>
      </c>
      <c r="K10">
        <f t="shared" si="1"/>
        <v>1</v>
      </c>
      <c r="L10">
        <f t="shared" si="2"/>
        <v>1</v>
      </c>
    </row>
    <row r="11" spans="1:12" x14ac:dyDescent="0.3">
      <c r="A11" s="38" t="s">
        <v>3</v>
      </c>
      <c r="B11" s="38"/>
      <c r="C11" s="11"/>
      <c r="D11" s="11"/>
      <c r="E11" s="11"/>
      <c r="F11" s="11"/>
      <c r="G11" s="11"/>
      <c r="H11" s="11">
        <f t="shared" si="0"/>
        <v>0</v>
      </c>
      <c r="J11" s="7" t="s">
        <v>9</v>
      </c>
      <c r="K11">
        <f t="shared" si="1"/>
        <v>0</v>
      </c>
      <c r="L11">
        <f t="shared" si="2"/>
        <v>0</v>
      </c>
    </row>
    <row r="12" spans="1:12" x14ac:dyDescent="0.3">
      <c r="A12" s="85" t="s">
        <v>4</v>
      </c>
      <c r="B12" s="37" t="s">
        <v>4</v>
      </c>
      <c r="C12" s="11" t="s">
        <v>368</v>
      </c>
      <c r="D12" s="11"/>
      <c r="E12" s="11">
        <v>1</v>
      </c>
      <c r="F12" s="11"/>
      <c r="G12" s="11"/>
      <c r="H12" s="11">
        <f t="shared" si="0"/>
        <v>1</v>
      </c>
      <c r="J12" s="5" t="s">
        <v>10</v>
      </c>
      <c r="K12">
        <f t="shared" si="1"/>
        <v>0</v>
      </c>
      <c r="L12">
        <f t="shared" si="2"/>
        <v>0</v>
      </c>
    </row>
    <row r="13" spans="1:12" x14ac:dyDescent="0.3">
      <c r="A13" s="85"/>
      <c r="B13" s="37" t="s">
        <v>4</v>
      </c>
      <c r="C13" s="11" t="s">
        <v>369</v>
      </c>
      <c r="D13" s="11"/>
      <c r="E13" s="11">
        <v>1</v>
      </c>
      <c r="F13" s="11">
        <v>1</v>
      </c>
      <c r="G13" s="11">
        <v>1</v>
      </c>
      <c r="H13" s="11">
        <f t="shared" si="0"/>
        <v>3</v>
      </c>
      <c r="J13" s="8" t="s">
        <v>11</v>
      </c>
      <c r="K13">
        <f t="shared" si="1"/>
        <v>0</v>
      </c>
      <c r="L13">
        <f t="shared" si="2"/>
        <v>0</v>
      </c>
    </row>
    <row r="14" spans="1:12" x14ac:dyDescent="0.3">
      <c r="A14" s="85"/>
      <c r="B14" s="37" t="s">
        <v>4</v>
      </c>
      <c r="C14" s="11" t="s">
        <v>360</v>
      </c>
      <c r="D14" s="11"/>
      <c r="E14" s="11">
        <v>1</v>
      </c>
      <c r="F14" s="11"/>
      <c r="G14" s="11"/>
      <c r="H14" s="11">
        <f t="shared" si="0"/>
        <v>1</v>
      </c>
      <c r="J14" s="6" t="s">
        <v>12</v>
      </c>
      <c r="K14">
        <f t="shared" si="1"/>
        <v>0</v>
      </c>
      <c r="L14">
        <f t="shared" si="2"/>
        <v>0</v>
      </c>
    </row>
    <row r="15" spans="1:12" x14ac:dyDescent="0.3">
      <c r="A15" s="85"/>
      <c r="B15" s="37" t="s">
        <v>4</v>
      </c>
      <c r="C15" s="11" t="s">
        <v>370</v>
      </c>
      <c r="D15" s="11"/>
      <c r="E15" s="11"/>
      <c r="F15" s="11"/>
      <c r="G15" s="11">
        <v>1</v>
      </c>
      <c r="H15" s="11">
        <f t="shared" si="0"/>
        <v>1</v>
      </c>
      <c r="J15" s="8" t="s">
        <v>13</v>
      </c>
      <c r="K15">
        <f t="shared" si="1"/>
        <v>5</v>
      </c>
      <c r="L15">
        <f t="shared" si="2"/>
        <v>4</v>
      </c>
    </row>
    <row r="16" spans="1:12" x14ac:dyDescent="0.3">
      <c r="A16" s="38" t="s">
        <v>5</v>
      </c>
      <c r="B16" s="38" t="s">
        <v>5</v>
      </c>
      <c r="C16" s="11" t="s">
        <v>371</v>
      </c>
      <c r="D16" s="11"/>
      <c r="E16" s="11">
        <v>1</v>
      </c>
      <c r="F16" s="11"/>
      <c r="G16" s="11"/>
      <c r="H16" s="11">
        <f t="shared" si="0"/>
        <v>1</v>
      </c>
      <c r="J16" s="8" t="s">
        <v>14</v>
      </c>
      <c r="K16">
        <f t="shared" si="1"/>
        <v>0</v>
      </c>
      <c r="L16">
        <f t="shared" si="2"/>
        <v>0</v>
      </c>
    </row>
    <row r="17" spans="1:12" x14ac:dyDescent="0.3">
      <c r="A17" s="19" t="s">
        <v>6</v>
      </c>
      <c r="B17" s="19" t="s">
        <v>6</v>
      </c>
      <c r="C17" s="11" t="s">
        <v>372</v>
      </c>
      <c r="D17" s="11"/>
      <c r="E17" s="11">
        <v>1</v>
      </c>
      <c r="F17" s="11"/>
      <c r="G17" s="11"/>
      <c r="H17" s="11">
        <f t="shared" si="0"/>
        <v>1</v>
      </c>
      <c r="J17" s="6" t="s">
        <v>15</v>
      </c>
      <c r="K17">
        <f t="shared" si="1"/>
        <v>0</v>
      </c>
      <c r="L17">
        <f t="shared" si="2"/>
        <v>0</v>
      </c>
    </row>
    <row r="18" spans="1:12" x14ac:dyDescent="0.3">
      <c r="A18" s="19" t="s">
        <v>7</v>
      </c>
      <c r="B18" s="19" t="s">
        <v>7</v>
      </c>
      <c r="C18" s="11" t="s">
        <v>357</v>
      </c>
      <c r="D18" s="11"/>
      <c r="E18" s="11">
        <v>1</v>
      </c>
      <c r="F18" s="11">
        <v>1</v>
      </c>
      <c r="G18" s="11">
        <v>1</v>
      </c>
      <c r="H18" s="11">
        <f t="shared" si="0"/>
        <v>3</v>
      </c>
      <c r="J18" s="8" t="s">
        <v>16</v>
      </c>
      <c r="K18">
        <f t="shared" si="1"/>
        <v>5</v>
      </c>
      <c r="L18">
        <f t="shared" si="2"/>
        <v>5</v>
      </c>
    </row>
    <row r="19" spans="1:12" x14ac:dyDescent="0.3">
      <c r="A19" s="19" t="s">
        <v>8</v>
      </c>
      <c r="B19" s="19" t="s">
        <v>8</v>
      </c>
      <c r="C19" s="11" t="s">
        <v>358</v>
      </c>
      <c r="D19" s="11"/>
      <c r="E19" s="11">
        <v>1</v>
      </c>
      <c r="F19" s="11"/>
      <c r="G19" s="11"/>
      <c r="H19" s="11">
        <f t="shared" si="0"/>
        <v>1</v>
      </c>
      <c r="J19" s="8" t="s">
        <v>17</v>
      </c>
      <c r="K19">
        <f t="shared" si="1"/>
        <v>0</v>
      </c>
      <c r="L19">
        <f t="shared" si="2"/>
        <v>0</v>
      </c>
    </row>
    <row r="20" spans="1:12" x14ac:dyDescent="0.3">
      <c r="A20" s="38" t="s">
        <v>9</v>
      </c>
      <c r="B20" s="38"/>
      <c r="C20" s="11"/>
      <c r="D20" s="11"/>
      <c r="E20" s="11"/>
      <c r="F20" s="11"/>
      <c r="G20" s="11"/>
      <c r="H20" s="11">
        <f t="shared" si="0"/>
        <v>0</v>
      </c>
      <c r="J20" s="6" t="s">
        <v>18</v>
      </c>
      <c r="K20">
        <f t="shared" si="1"/>
        <v>0</v>
      </c>
      <c r="L20">
        <f t="shared" si="2"/>
        <v>0</v>
      </c>
    </row>
    <row r="21" spans="1:12" x14ac:dyDescent="0.3">
      <c r="A21" s="19" t="s">
        <v>10</v>
      </c>
      <c r="B21" s="19"/>
      <c r="C21" s="11"/>
      <c r="D21" s="11"/>
      <c r="E21" s="11"/>
      <c r="F21" s="11"/>
      <c r="G21" s="11"/>
      <c r="H21" s="11">
        <f t="shared" si="0"/>
        <v>0</v>
      </c>
      <c r="J21" s="6" t="s">
        <v>19</v>
      </c>
      <c r="K21">
        <f t="shared" si="1"/>
        <v>0</v>
      </c>
      <c r="L21">
        <f t="shared" si="2"/>
        <v>1</v>
      </c>
    </row>
    <row r="22" spans="1:12" x14ac:dyDescent="0.3">
      <c r="A22" s="39" t="s">
        <v>11</v>
      </c>
      <c r="B22" s="39"/>
      <c r="C22" s="11"/>
      <c r="D22" s="11"/>
      <c r="E22" s="11"/>
      <c r="F22" s="11"/>
      <c r="G22" s="11"/>
      <c r="H22" s="11">
        <f t="shared" si="0"/>
        <v>0</v>
      </c>
      <c r="J22" s="6" t="s">
        <v>20</v>
      </c>
      <c r="K22">
        <f t="shared" si="1"/>
        <v>0</v>
      </c>
      <c r="L22">
        <f t="shared" si="2"/>
        <v>0</v>
      </c>
    </row>
    <row r="23" spans="1:12" x14ac:dyDescent="0.3">
      <c r="A23" s="38" t="s">
        <v>12</v>
      </c>
      <c r="B23" s="38"/>
      <c r="C23" s="11"/>
      <c r="D23" s="11"/>
      <c r="E23" s="11"/>
      <c r="F23" s="11"/>
      <c r="G23" s="11"/>
      <c r="H23" s="11">
        <f t="shared" si="0"/>
        <v>0</v>
      </c>
      <c r="J23" s="8" t="s">
        <v>21</v>
      </c>
      <c r="K23">
        <f t="shared" si="1"/>
        <v>0</v>
      </c>
      <c r="L23">
        <f t="shared" si="2"/>
        <v>0</v>
      </c>
    </row>
    <row r="24" spans="1:12" x14ac:dyDescent="0.3">
      <c r="A24" s="86" t="s">
        <v>13</v>
      </c>
      <c r="B24" s="40" t="s">
        <v>13</v>
      </c>
      <c r="C24" s="11" t="s">
        <v>373</v>
      </c>
      <c r="D24" s="11"/>
      <c r="E24" s="11">
        <v>1</v>
      </c>
      <c r="F24" s="11">
        <v>1</v>
      </c>
      <c r="G24" s="11"/>
      <c r="H24" s="11">
        <f t="shared" si="0"/>
        <v>2</v>
      </c>
      <c r="J24" s="8" t="s">
        <v>22</v>
      </c>
      <c r="K24">
        <f t="shared" si="1"/>
        <v>0</v>
      </c>
      <c r="L24">
        <f t="shared" si="2"/>
        <v>0</v>
      </c>
    </row>
    <row r="25" spans="1:12" x14ac:dyDescent="0.3">
      <c r="A25" s="86"/>
      <c r="B25" s="40" t="s">
        <v>13</v>
      </c>
      <c r="C25" s="39" t="s">
        <v>374</v>
      </c>
      <c r="D25" s="11"/>
      <c r="E25" s="11"/>
      <c r="F25" s="11"/>
      <c r="G25" s="11">
        <v>1</v>
      </c>
      <c r="H25" s="11">
        <f t="shared" si="0"/>
        <v>1</v>
      </c>
      <c r="J25" s="8" t="s">
        <v>23</v>
      </c>
      <c r="K25">
        <f t="shared" si="1"/>
        <v>0</v>
      </c>
      <c r="L25">
        <f t="shared" si="2"/>
        <v>0</v>
      </c>
    </row>
    <row r="26" spans="1:12" x14ac:dyDescent="0.3">
      <c r="A26" s="86"/>
      <c r="B26" s="40" t="s">
        <v>13</v>
      </c>
      <c r="C26" s="39" t="s">
        <v>376</v>
      </c>
      <c r="D26" s="11"/>
      <c r="E26" s="11">
        <v>1</v>
      </c>
      <c r="F26" s="11"/>
      <c r="G26" s="11"/>
      <c r="H26" s="11">
        <f t="shared" si="0"/>
        <v>1</v>
      </c>
      <c r="J26" s="8" t="s">
        <v>24</v>
      </c>
      <c r="K26">
        <f t="shared" si="1"/>
        <v>0</v>
      </c>
      <c r="L26">
        <f t="shared" si="2"/>
        <v>0</v>
      </c>
    </row>
    <row r="27" spans="1:12" x14ac:dyDescent="0.3">
      <c r="A27" s="86"/>
      <c r="B27" s="40" t="s">
        <v>13</v>
      </c>
      <c r="C27" s="39" t="s">
        <v>375</v>
      </c>
      <c r="D27" s="11"/>
      <c r="E27" s="11">
        <v>1</v>
      </c>
      <c r="F27" s="11"/>
      <c r="G27" s="11"/>
      <c r="H27" s="11">
        <f t="shared" si="0"/>
        <v>1</v>
      </c>
      <c r="J27" s="6" t="s">
        <v>25</v>
      </c>
      <c r="K27">
        <f t="shared" si="1"/>
        <v>0</v>
      </c>
      <c r="L27">
        <f t="shared" si="2"/>
        <v>0</v>
      </c>
    </row>
    <row r="28" spans="1:12" x14ac:dyDescent="0.3">
      <c r="A28" s="39" t="s">
        <v>14</v>
      </c>
      <c r="B28" s="39"/>
      <c r="C28" s="11"/>
      <c r="D28" s="11"/>
      <c r="E28" s="11"/>
      <c r="F28" s="11"/>
      <c r="G28" s="11"/>
      <c r="H28" s="11">
        <f t="shared" si="0"/>
        <v>0</v>
      </c>
      <c r="J28" s="6" t="s">
        <v>26</v>
      </c>
      <c r="K28">
        <f t="shared" si="1"/>
        <v>3</v>
      </c>
      <c r="L28">
        <f t="shared" si="2"/>
        <v>1</v>
      </c>
    </row>
    <row r="29" spans="1:12" x14ac:dyDescent="0.3">
      <c r="A29" s="38" t="s">
        <v>15</v>
      </c>
      <c r="B29" s="38"/>
      <c r="C29" s="11"/>
      <c r="D29" s="11"/>
      <c r="E29" s="11"/>
      <c r="F29" s="11"/>
      <c r="G29" s="11"/>
      <c r="H29" s="11">
        <f t="shared" si="0"/>
        <v>0</v>
      </c>
      <c r="J29" s="8" t="s">
        <v>27</v>
      </c>
      <c r="K29">
        <f t="shared" si="1"/>
        <v>0</v>
      </c>
      <c r="L29">
        <f t="shared" si="2"/>
        <v>0</v>
      </c>
    </row>
    <row r="30" spans="1:12" x14ac:dyDescent="0.3">
      <c r="A30" s="86" t="s">
        <v>16</v>
      </c>
      <c r="B30" s="40" t="s">
        <v>16</v>
      </c>
      <c r="C30" s="11" t="s">
        <v>377</v>
      </c>
      <c r="D30" s="11">
        <v>1</v>
      </c>
      <c r="E30" s="11"/>
      <c r="F30" s="11"/>
      <c r="G30" s="11"/>
      <c r="H30" s="11">
        <f t="shared" si="0"/>
        <v>1</v>
      </c>
      <c r="J30" s="8" t="s">
        <v>28</v>
      </c>
      <c r="K30">
        <f t="shared" si="1"/>
        <v>0</v>
      </c>
      <c r="L30">
        <f t="shared" si="2"/>
        <v>0</v>
      </c>
    </row>
    <row r="31" spans="1:12" x14ac:dyDescent="0.3">
      <c r="A31" s="86"/>
      <c r="B31" s="40" t="s">
        <v>16</v>
      </c>
      <c r="C31" s="39" t="s">
        <v>378</v>
      </c>
      <c r="D31" s="11"/>
      <c r="E31" s="11"/>
      <c r="F31" s="11"/>
      <c r="G31" s="11">
        <v>1</v>
      </c>
      <c r="H31" s="11">
        <f t="shared" si="0"/>
        <v>1</v>
      </c>
      <c r="J31" s="6" t="s">
        <v>29</v>
      </c>
      <c r="K31">
        <f t="shared" si="1"/>
        <v>0</v>
      </c>
      <c r="L31">
        <f t="shared" si="2"/>
        <v>0</v>
      </c>
    </row>
    <row r="32" spans="1:12" x14ac:dyDescent="0.3">
      <c r="A32" s="86"/>
      <c r="B32" s="40" t="s">
        <v>16</v>
      </c>
      <c r="C32" s="39" t="s">
        <v>379</v>
      </c>
      <c r="D32" s="11"/>
      <c r="E32" s="11"/>
      <c r="F32" s="11"/>
      <c r="G32" s="11">
        <v>1</v>
      </c>
      <c r="H32" s="11">
        <f t="shared" si="0"/>
        <v>1</v>
      </c>
      <c r="J32" s="8" t="s">
        <v>30</v>
      </c>
      <c r="K32">
        <f t="shared" si="1"/>
        <v>1</v>
      </c>
      <c r="L32">
        <f t="shared" si="2"/>
        <v>1</v>
      </c>
    </row>
    <row r="33" spans="1:12" x14ac:dyDescent="0.3">
      <c r="A33" s="86"/>
      <c r="B33" s="40" t="s">
        <v>16</v>
      </c>
      <c r="C33" s="39" t="s">
        <v>380</v>
      </c>
      <c r="D33" s="11"/>
      <c r="E33" s="11"/>
      <c r="F33" s="11"/>
      <c r="G33" s="11">
        <v>1</v>
      </c>
      <c r="H33" s="11">
        <f t="shared" si="0"/>
        <v>1</v>
      </c>
      <c r="J33" s="8" t="s">
        <v>31</v>
      </c>
      <c r="K33">
        <f t="shared" si="1"/>
        <v>0</v>
      </c>
      <c r="L33">
        <f t="shared" si="2"/>
        <v>0</v>
      </c>
    </row>
    <row r="34" spans="1:12" x14ac:dyDescent="0.3">
      <c r="A34" s="86"/>
      <c r="B34" s="40" t="s">
        <v>16</v>
      </c>
      <c r="C34" s="39" t="s">
        <v>381</v>
      </c>
      <c r="D34" s="11"/>
      <c r="E34" s="11"/>
      <c r="F34" s="11"/>
      <c r="G34" s="11">
        <v>1</v>
      </c>
      <c r="H34" s="11">
        <f t="shared" si="0"/>
        <v>1</v>
      </c>
      <c r="J34" s="6" t="s">
        <v>32</v>
      </c>
      <c r="K34">
        <f t="shared" si="1"/>
        <v>0</v>
      </c>
      <c r="L34">
        <f t="shared" si="2"/>
        <v>0</v>
      </c>
    </row>
    <row r="35" spans="1:12" x14ac:dyDescent="0.3">
      <c r="A35" s="39" t="s">
        <v>17</v>
      </c>
      <c r="B35" s="39"/>
      <c r="C35" s="11"/>
      <c r="D35" s="11"/>
      <c r="E35" s="11"/>
      <c r="F35" s="11"/>
      <c r="G35" s="11"/>
      <c r="H35" s="11">
        <f t="shared" si="0"/>
        <v>0</v>
      </c>
      <c r="J35" s="6" t="s">
        <v>33</v>
      </c>
      <c r="K35">
        <f t="shared" si="1"/>
        <v>0</v>
      </c>
      <c r="L35">
        <f t="shared" si="2"/>
        <v>0</v>
      </c>
    </row>
    <row r="36" spans="1:12" x14ac:dyDescent="0.3">
      <c r="A36" s="38" t="s">
        <v>18</v>
      </c>
      <c r="B36" s="38"/>
      <c r="C36" s="11"/>
      <c r="D36" s="11"/>
      <c r="E36" s="11"/>
      <c r="F36" s="11"/>
      <c r="G36" s="11"/>
      <c r="H36" s="11">
        <f t="shared" si="0"/>
        <v>0</v>
      </c>
      <c r="J36" s="6" t="s">
        <v>34</v>
      </c>
      <c r="K36">
        <f t="shared" si="1"/>
        <v>0</v>
      </c>
      <c r="L36">
        <f t="shared" si="2"/>
        <v>0</v>
      </c>
    </row>
    <row r="37" spans="1:12" x14ac:dyDescent="0.3">
      <c r="A37" s="38" t="s">
        <v>19</v>
      </c>
      <c r="B37" s="38" t="s">
        <v>19</v>
      </c>
      <c r="C37" s="11" t="s">
        <v>382</v>
      </c>
      <c r="D37" s="11"/>
      <c r="E37" s="11"/>
      <c r="F37" s="11"/>
      <c r="G37" s="11"/>
      <c r="H37" s="11">
        <f t="shared" si="0"/>
        <v>0</v>
      </c>
      <c r="J37" s="8" t="s">
        <v>35</v>
      </c>
      <c r="K37">
        <f t="shared" si="1"/>
        <v>4</v>
      </c>
      <c r="L37">
        <f t="shared" si="2"/>
        <v>2</v>
      </c>
    </row>
    <row r="38" spans="1:12" x14ac:dyDescent="0.3">
      <c r="A38" s="38" t="s">
        <v>20</v>
      </c>
      <c r="B38" s="38"/>
      <c r="C38" s="11"/>
      <c r="D38" s="11"/>
      <c r="E38" s="11"/>
      <c r="F38" s="11"/>
      <c r="G38" s="11"/>
      <c r="H38" s="11">
        <f t="shared" si="0"/>
        <v>0</v>
      </c>
      <c r="J38" s="8" t="s">
        <v>36</v>
      </c>
      <c r="K38">
        <f t="shared" si="1"/>
        <v>2</v>
      </c>
      <c r="L38">
        <f t="shared" si="2"/>
        <v>2</v>
      </c>
    </row>
    <row r="39" spans="1:12" x14ac:dyDescent="0.3">
      <c r="A39" s="39" t="s">
        <v>21</v>
      </c>
      <c r="B39" s="39"/>
      <c r="C39" s="11"/>
      <c r="D39" s="11"/>
      <c r="E39" s="11"/>
      <c r="F39" s="11"/>
      <c r="G39" s="11"/>
      <c r="H39" s="11">
        <f t="shared" si="0"/>
        <v>0</v>
      </c>
      <c r="J39" s="6" t="s">
        <v>37</v>
      </c>
      <c r="K39">
        <f t="shared" si="1"/>
        <v>0</v>
      </c>
      <c r="L39">
        <f t="shared" si="2"/>
        <v>0</v>
      </c>
    </row>
    <row r="40" spans="1:12" x14ac:dyDescent="0.3">
      <c r="A40" s="39" t="s">
        <v>22</v>
      </c>
      <c r="B40" s="39"/>
      <c r="C40" s="11"/>
      <c r="D40" s="11"/>
      <c r="E40" s="11"/>
      <c r="F40" s="11"/>
      <c r="G40" s="11"/>
      <c r="H40" s="11">
        <f t="shared" si="0"/>
        <v>0</v>
      </c>
      <c r="J40" s="8" t="s">
        <v>38</v>
      </c>
      <c r="K40">
        <f t="shared" si="1"/>
        <v>0</v>
      </c>
      <c r="L40">
        <f t="shared" si="2"/>
        <v>0</v>
      </c>
    </row>
    <row r="41" spans="1:12" x14ac:dyDescent="0.3">
      <c r="A41" s="39" t="s">
        <v>23</v>
      </c>
      <c r="B41" s="39"/>
      <c r="C41" s="11"/>
      <c r="D41" s="11"/>
      <c r="E41" s="11"/>
      <c r="F41" s="11"/>
      <c r="G41" s="11"/>
      <c r="H41" s="11">
        <f t="shared" si="0"/>
        <v>0</v>
      </c>
      <c r="J41" s="8" t="s">
        <v>39</v>
      </c>
      <c r="K41">
        <f t="shared" si="1"/>
        <v>6</v>
      </c>
      <c r="L41">
        <f t="shared" si="2"/>
        <v>4</v>
      </c>
    </row>
    <row r="42" spans="1:12" x14ac:dyDescent="0.3">
      <c r="A42" s="39" t="s">
        <v>24</v>
      </c>
      <c r="B42" s="39"/>
      <c r="C42" s="11"/>
      <c r="D42" s="11"/>
      <c r="E42" s="11"/>
      <c r="F42" s="11"/>
      <c r="G42" s="11"/>
      <c r="H42" s="11">
        <f t="shared" si="0"/>
        <v>0</v>
      </c>
      <c r="J42" s="6" t="s">
        <v>40</v>
      </c>
      <c r="K42">
        <f t="shared" si="1"/>
        <v>0</v>
      </c>
      <c r="L42">
        <f t="shared" si="2"/>
        <v>0</v>
      </c>
    </row>
    <row r="43" spans="1:12" x14ac:dyDescent="0.3">
      <c r="A43" s="38" t="s">
        <v>25</v>
      </c>
      <c r="B43" s="38"/>
      <c r="C43" s="11"/>
      <c r="D43" s="11"/>
      <c r="E43" s="11"/>
      <c r="F43" s="11"/>
      <c r="G43" s="11"/>
      <c r="H43" s="11">
        <f t="shared" si="0"/>
        <v>0</v>
      </c>
      <c r="J43" s="6" t="s">
        <v>41</v>
      </c>
      <c r="K43">
        <f t="shared" si="1"/>
        <v>0</v>
      </c>
      <c r="L43">
        <f t="shared" si="2"/>
        <v>0</v>
      </c>
    </row>
    <row r="44" spans="1:12" x14ac:dyDescent="0.3">
      <c r="A44" s="38" t="s">
        <v>26</v>
      </c>
      <c r="B44" s="38" t="s">
        <v>26</v>
      </c>
      <c r="C44" s="11" t="s">
        <v>383</v>
      </c>
      <c r="D44" s="11"/>
      <c r="E44" s="11">
        <v>1</v>
      </c>
      <c r="F44" s="11">
        <v>1</v>
      </c>
      <c r="G44" s="11">
        <v>1</v>
      </c>
      <c r="H44" s="11">
        <f t="shared" si="0"/>
        <v>3</v>
      </c>
      <c r="J44" s="6" t="s">
        <v>42</v>
      </c>
      <c r="K44">
        <f t="shared" si="1"/>
        <v>0</v>
      </c>
      <c r="L44">
        <f t="shared" si="2"/>
        <v>0</v>
      </c>
    </row>
    <row r="45" spans="1:12" x14ac:dyDescent="0.3">
      <c r="A45" s="39" t="s">
        <v>27</v>
      </c>
      <c r="B45" s="39"/>
      <c r="C45" s="11"/>
      <c r="D45" s="11"/>
      <c r="E45" s="11"/>
      <c r="F45" s="11"/>
      <c r="G45" s="11"/>
      <c r="H45" s="11">
        <f t="shared" si="0"/>
        <v>0</v>
      </c>
      <c r="J45" s="6" t="s">
        <v>43</v>
      </c>
      <c r="K45">
        <f t="shared" si="1"/>
        <v>0</v>
      </c>
      <c r="L45">
        <f t="shared" si="2"/>
        <v>0</v>
      </c>
    </row>
    <row r="46" spans="1:12" x14ac:dyDescent="0.3">
      <c r="A46" s="39" t="s">
        <v>28</v>
      </c>
      <c r="B46" s="39"/>
      <c r="C46" s="11"/>
      <c r="D46" s="11"/>
      <c r="E46" s="11"/>
      <c r="F46" s="11"/>
      <c r="G46" s="11"/>
      <c r="H46" s="11">
        <f t="shared" si="0"/>
        <v>0</v>
      </c>
      <c r="J46" s="8" t="s">
        <v>44</v>
      </c>
      <c r="K46">
        <f t="shared" si="1"/>
        <v>2</v>
      </c>
      <c r="L46">
        <f t="shared" si="2"/>
        <v>2</v>
      </c>
    </row>
    <row r="47" spans="1:12" x14ac:dyDescent="0.3">
      <c r="A47" s="38" t="s">
        <v>29</v>
      </c>
      <c r="B47" s="38"/>
      <c r="C47" s="11"/>
      <c r="D47" s="11"/>
      <c r="E47" s="11"/>
      <c r="F47" s="11"/>
      <c r="G47" s="11"/>
      <c r="H47" s="11">
        <f t="shared" si="0"/>
        <v>0</v>
      </c>
      <c r="J47" s="6" t="s">
        <v>45</v>
      </c>
      <c r="K47">
        <f t="shared" si="1"/>
        <v>0</v>
      </c>
      <c r="L47">
        <f t="shared" si="2"/>
        <v>0</v>
      </c>
    </row>
    <row r="48" spans="1:12" x14ac:dyDescent="0.3">
      <c r="A48" s="39" t="s">
        <v>30</v>
      </c>
      <c r="B48" s="39" t="s">
        <v>30</v>
      </c>
      <c r="C48" s="11" t="s">
        <v>384</v>
      </c>
      <c r="D48" s="11"/>
      <c r="E48" s="11"/>
      <c r="F48" s="11"/>
      <c r="G48" s="11">
        <v>1</v>
      </c>
      <c r="H48" s="11">
        <f t="shared" si="0"/>
        <v>1</v>
      </c>
      <c r="J48" s="8" t="s">
        <v>46</v>
      </c>
      <c r="K48">
        <f t="shared" si="1"/>
        <v>0</v>
      </c>
      <c r="L48">
        <f t="shared" si="2"/>
        <v>0</v>
      </c>
    </row>
    <row r="49" spans="1:12" x14ac:dyDescent="0.3">
      <c r="A49" s="39" t="s">
        <v>31</v>
      </c>
      <c r="B49" s="39"/>
      <c r="C49" s="11"/>
      <c r="D49" s="11"/>
      <c r="E49" s="11"/>
      <c r="F49" s="11"/>
      <c r="G49" s="11"/>
      <c r="H49" s="11">
        <f t="shared" si="0"/>
        <v>0</v>
      </c>
      <c r="J49" s="8" t="s">
        <v>47</v>
      </c>
      <c r="K49">
        <f t="shared" si="1"/>
        <v>0</v>
      </c>
      <c r="L49">
        <f t="shared" si="2"/>
        <v>0</v>
      </c>
    </row>
    <row r="50" spans="1:12" x14ac:dyDescent="0.3">
      <c r="A50" s="38" t="s">
        <v>32</v>
      </c>
      <c r="B50" s="38"/>
      <c r="C50" s="11"/>
      <c r="D50" s="11"/>
      <c r="E50" s="11"/>
      <c r="F50" s="11"/>
      <c r="G50" s="11"/>
      <c r="H50" s="11">
        <f t="shared" si="0"/>
        <v>0</v>
      </c>
      <c r="J50" s="8" t="s">
        <v>48</v>
      </c>
      <c r="K50">
        <f t="shared" si="1"/>
        <v>0</v>
      </c>
      <c r="L50">
        <f t="shared" si="2"/>
        <v>0</v>
      </c>
    </row>
    <row r="51" spans="1:12" x14ac:dyDescent="0.3">
      <c r="A51" s="38" t="s">
        <v>33</v>
      </c>
      <c r="B51" s="38"/>
      <c r="C51" s="11"/>
      <c r="D51" s="11"/>
      <c r="E51" s="11"/>
      <c r="F51" s="11"/>
      <c r="G51" s="11"/>
      <c r="H51" s="11">
        <f t="shared" si="0"/>
        <v>0</v>
      </c>
      <c r="J51" s="8" t="s">
        <v>49</v>
      </c>
      <c r="K51">
        <f t="shared" si="1"/>
        <v>0</v>
      </c>
      <c r="L51">
        <f t="shared" si="2"/>
        <v>0</v>
      </c>
    </row>
    <row r="52" spans="1:12" x14ac:dyDescent="0.3">
      <c r="A52" s="38" t="s">
        <v>34</v>
      </c>
      <c r="B52" s="38"/>
      <c r="C52" s="11"/>
      <c r="D52" s="11"/>
      <c r="E52" s="11"/>
      <c r="F52" s="11"/>
      <c r="G52" s="11"/>
      <c r="H52" s="11">
        <f t="shared" si="0"/>
        <v>0</v>
      </c>
      <c r="J52" s="8" t="s">
        <v>50</v>
      </c>
      <c r="K52">
        <f t="shared" si="1"/>
        <v>0</v>
      </c>
      <c r="L52">
        <f t="shared" si="2"/>
        <v>0</v>
      </c>
    </row>
    <row r="53" spans="1:12" x14ac:dyDescent="0.3">
      <c r="A53" s="86" t="s">
        <v>35</v>
      </c>
      <c r="B53" s="40" t="s">
        <v>35</v>
      </c>
      <c r="C53" s="11" t="s">
        <v>385</v>
      </c>
      <c r="D53" s="11"/>
      <c r="E53" s="11">
        <v>1</v>
      </c>
      <c r="F53" s="11">
        <v>1</v>
      </c>
      <c r="G53" s="11">
        <v>1</v>
      </c>
      <c r="H53" s="11">
        <f t="shared" si="0"/>
        <v>3</v>
      </c>
      <c r="J53" s="6" t="s">
        <v>51</v>
      </c>
      <c r="K53">
        <f t="shared" si="1"/>
        <v>0</v>
      </c>
      <c r="L53">
        <f t="shared" si="2"/>
        <v>0</v>
      </c>
    </row>
    <row r="54" spans="1:12" x14ac:dyDescent="0.3">
      <c r="A54" s="86"/>
      <c r="B54" s="40" t="s">
        <v>35</v>
      </c>
      <c r="C54" s="11" t="s">
        <v>386</v>
      </c>
      <c r="D54" s="11"/>
      <c r="E54" s="11"/>
      <c r="F54" s="11"/>
      <c r="G54" s="11">
        <v>1</v>
      </c>
      <c r="H54" s="11">
        <f t="shared" si="0"/>
        <v>1</v>
      </c>
      <c r="J54" s="6" t="s">
        <v>52</v>
      </c>
      <c r="K54">
        <f t="shared" si="1"/>
        <v>0</v>
      </c>
      <c r="L54">
        <f t="shared" si="2"/>
        <v>0</v>
      </c>
    </row>
    <row r="55" spans="1:12" x14ac:dyDescent="0.3">
      <c r="A55" s="86" t="s">
        <v>36</v>
      </c>
      <c r="B55" s="40" t="s">
        <v>36</v>
      </c>
      <c r="C55" s="11" t="s">
        <v>388</v>
      </c>
      <c r="D55" s="11">
        <v>1</v>
      </c>
      <c r="E55" s="11"/>
      <c r="F55" s="11"/>
      <c r="G55" s="11"/>
      <c r="H55" s="11">
        <f t="shared" si="0"/>
        <v>1</v>
      </c>
      <c r="J55" s="8" t="s">
        <v>53</v>
      </c>
      <c r="K55">
        <f t="shared" si="1"/>
        <v>1</v>
      </c>
      <c r="L55">
        <f t="shared" si="2"/>
        <v>1</v>
      </c>
    </row>
    <row r="56" spans="1:12" x14ac:dyDescent="0.3">
      <c r="A56" s="86"/>
      <c r="B56" s="40" t="s">
        <v>36</v>
      </c>
      <c r="C56" s="11" t="s">
        <v>387</v>
      </c>
      <c r="D56" s="11">
        <v>1</v>
      </c>
      <c r="E56" s="11"/>
      <c r="F56" s="11"/>
      <c r="G56" s="11"/>
      <c r="H56" s="11">
        <f t="shared" si="0"/>
        <v>1</v>
      </c>
      <c r="J56" s="6" t="s">
        <v>54</v>
      </c>
      <c r="K56">
        <f t="shared" si="1"/>
        <v>4</v>
      </c>
      <c r="L56">
        <f t="shared" si="2"/>
        <v>3</v>
      </c>
    </row>
    <row r="57" spans="1:12" x14ac:dyDescent="0.3">
      <c r="A57" s="38" t="s">
        <v>37</v>
      </c>
      <c r="B57" s="38"/>
      <c r="C57" s="11"/>
      <c r="D57" s="11"/>
      <c r="E57" s="11"/>
      <c r="F57" s="11"/>
      <c r="G57" s="11"/>
      <c r="H57" s="11">
        <f t="shared" si="0"/>
        <v>0</v>
      </c>
      <c r="J57" s="6" t="s">
        <v>55</v>
      </c>
      <c r="K57">
        <f t="shared" si="1"/>
        <v>2</v>
      </c>
      <c r="L57">
        <f t="shared" si="2"/>
        <v>1</v>
      </c>
    </row>
    <row r="58" spans="1:12" x14ac:dyDescent="0.3">
      <c r="A58" s="39" t="s">
        <v>38</v>
      </c>
      <c r="B58" s="39"/>
      <c r="C58" s="11"/>
      <c r="D58" s="11"/>
      <c r="E58" s="11"/>
      <c r="F58" s="11"/>
      <c r="G58" s="11"/>
      <c r="H58" s="11">
        <f t="shared" si="0"/>
        <v>0</v>
      </c>
      <c r="J58" s="8" t="s">
        <v>56</v>
      </c>
      <c r="K58">
        <f t="shared" si="1"/>
        <v>0</v>
      </c>
      <c r="L58">
        <f t="shared" si="2"/>
        <v>0</v>
      </c>
    </row>
    <row r="59" spans="1:12" x14ac:dyDescent="0.3">
      <c r="A59" s="86" t="s">
        <v>39</v>
      </c>
      <c r="B59" s="40" t="s">
        <v>39</v>
      </c>
      <c r="C59" s="11" t="s">
        <v>385</v>
      </c>
      <c r="D59" s="11"/>
      <c r="E59" s="11">
        <v>1</v>
      </c>
      <c r="F59" s="11">
        <v>1</v>
      </c>
      <c r="G59" s="11">
        <v>1</v>
      </c>
      <c r="H59" s="11">
        <f t="shared" si="0"/>
        <v>3</v>
      </c>
      <c r="J59" s="8" t="s">
        <v>57</v>
      </c>
      <c r="K59">
        <f t="shared" si="1"/>
        <v>0</v>
      </c>
      <c r="L59">
        <f t="shared" si="2"/>
        <v>0</v>
      </c>
    </row>
    <row r="60" spans="1:12" x14ac:dyDescent="0.3">
      <c r="A60" s="86"/>
      <c r="B60" s="40" t="s">
        <v>39</v>
      </c>
      <c r="C60" s="11" t="s">
        <v>389</v>
      </c>
      <c r="D60" s="11"/>
      <c r="E60" s="11"/>
      <c r="F60" s="11"/>
      <c r="G60" s="11">
        <v>1</v>
      </c>
      <c r="H60" s="11">
        <f t="shared" si="0"/>
        <v>1</v>
      </c>
      <c r="J60" s="8" t="s">
        <v>58</v>
      </c>
      <c r="K60">
        <f t="shared" si="1"/>
        <v>0</v>
      </c>
      <c r="L60">
        <f t="shared" si="2"/>
        <v>0</v>
      </c>
    </row>
    <row r="61" spans="1:12" x14ac:dyDescent="0.3">
      <c r="A61" s="86"/>
      <c r="B61" s="40" t="s">
        <v>39</v>
      </c>
      <c r="C61" s="11" t="s">
        <v>390</v>
      </c>
      <c r="D61" s="11"/>
      <c r="E61" s="11"/>
      <c r="F61" s="11"/>
      <c r="G61" s="11">
        <v>1</v>
      </c>
      <c r="H61" s="11">
        <f t="shared" si="0"/>
        <v>1</v>
      </c>
      <c r="J61" s="8" t="s">
        <v>59</v>
      </c>
      <c r="K61">
        <f t="shared" si="1"/>
        <v>0</v>
      </c>
      <c r="L61">
        <f t="shared" si="2"/>
        <v>0</v>
      </c>
    </row>
    <row r="62" spans="1:12" x14ac:dyDescent="0.3">
      <c r="A62" s="86"/>
      <c r="B62" s="40" t="s">
        <v>39</v>
      </c>
      <c r="C62" s="11" t="s">
        <v>391</v>
      </c>
      <c r="D62" s="11">
        <v>1</v>
      </c>
      <c r="E62" s="11"/>
      <c r="F62" s="11"/>
      <c r="G62" s="11"/>
      <c r="H62" s="11">
        <f t="shared" si="0"/>
        <v>1</v>
      </c>
    </row>
    <row r="63" spans="1:12" x14ac:dyDescent="0.3">
      <c r="A63" s="38" t="s">
        <v>40</v>
      </c>
      <c r="B63" s="38"/>
      <c r="C63" s="11"/>
      <c r="D63" s="11"/>
      <c r="E63" s="11"/>
      <c r="F63" s="11"/>
      <c r="G63" s="11"/>
      <c r="H63" s="11">
        <f t="shared" si="0"/>
        <v>0</v>
      </c>
    </row>
    <row r="64" spans="1:12" x14ac:dyDescent="0.3">
      <c r="A64" s="41" t="s">
        <v>41</v>
      </c>
      <c r="B64" s="41"/>
      <c r="C64" s="11"/>
      <c r="D64" s="11"/>
      <c r="E64" s="11"/>
      <c r="F64" s="11"/>
      <c r="G64" s="11"/>
      <c r="H64" s="11">
        <f t="shared" si="0"/>
        <v>0</v>
      </c>
    </row>
    <row r="65" spans="1:8" x14ac:dyDescent="0.3">
      <c r="A65" s="38" t="s">
        <v>42</v>
      </c>
      <c r="B65" s="38"/>
      <c r="C65" s="11"/>
      <c r="D65" s="11"/>
      <c r="E65" s="11"/>
      <c r="F65" s="11"/>
      <c r="G65" s="11"/>
      <c r="H65" s="11">
        <f t="shared" si="0"/>
        <v>0</v>
      </c>
    </row>
    <row r="66" spans="1:8" x14ac:dyDescent="0.3">
      <c r="A66" s="38" t="s">
        <v>43</v>
      </c>
      <c r="B66" s="38"/>
      <c r="C66" s="11"/>
      <c r="D66" s="11"/>
      <c r="E66" s="11"/>
      <c r="F66" s="11"/>
      <c r="G66" s="11"/>
      <c r="H66" s="11">
        <f t="shared" si="0"/>
        <v>0</v>
      </c>
    </row>
    <row r="67" spans="1:8" x14ac:dyDescent="0.3">
      <c r="A67" s="86" t="s">
        <v>44</v>
      </c>
      <c r="B67" s="40" t="s">
        <v>44</v>
      </c>
      <c r="C67" s="11" t="s">
        <v>392</v>
      </c>
      <c r="D67" s="11"/>
      <c r="E67" s="11">
        <v>1</v>
      </c>
      <c r="F67" s="11"/>
      <c r="G67" s="11"/>
      <c r="H67" s="11">
        <f t="shared" ref="H67:H85" si="3">SUM(D67:G67)</f>
        <v>1</v>
      </c>
    </row>
    <row r="68" spans="1:8" x14ac:dyDescent="0.3">
      <c r="A68" s="86"/>
      <c r="B68" s="40" t="s">
        <v>44</v>
      </c>
      <c r="C68" s="11" t="s">
        <v>393</v>
      </c>
      <c r="D68" s="11"/>
      <c r="E68" s="11"/>
      <c r="F68" s="11">
        <v>1</v>
      </c>
      <c r="G68" s="11"/>
      <c r="H68" s="11">
        <f t="shared" si="3"/>
        <v>1</v>
      </c>
    </row>
    <row r="69" spans="1:8" x14ac:dyDescent="0.3">
      <c r="A69" s="38" t="s">
        <v>45</v>
      </c>
      <c r="B69" s="38"/>
      <c r="C69" s="11"/>
      <c r="D69" s="11"/>
      <c r="E69" s="11"/>
      <c r="F69" s="11"/>
      <c r="G69" s="11"/>
      <c r="H69" s="11">
        <f t="shared" si="3"/>
        <v>0</v>
      </c>
    </row>
    <row r="70" spans="1:8" x14ac:dyDescent="0.3">
      <c r="A70" s="39" t="s">
        <v>46</v>
      </c>
      <c r="B70" s="39"/>
      <c r="C70" s="11"/>
      <c r="D70" s="11"/>
      <c r="E70" s="11"/>
      <c r="F70" s="11"/>
      <c r="G70" s="11"/>
      <c r="H70" s="11">
        <f t="shared" si="3"/>
        <v>0</v>
      </c>
    </row>
    <row r="71" spans="1:8" x14ac:dyDescent="0.3">
      <c r="A71" s="39" t="s">
        <v>47</v>
      </c>
      <c r="B71" s="39"/>
      <c r="C71" s="11"/>
      <c r="D71" s="11"/>
      <c r="E71" s="11"/>
      <c r="F71" s="11"/>
      <c r="G71" s="11"/>
      <c r="H71" s="11">
        <f t="shared" si="3"/>
        <v>0</v>
      </c>
    </row>
    <row r="72" spans="1:8" x14ac:dyDescent="0.3">
      <c r="A72" s="39" t="s">
        <v>48</v>
      </c>
      <c r="B72" s="39"/>
      <c r="C72" s="11"/>
      <c r="D72" s="11"/>
      <c r="E72" s="11"/>
      <c r="F72" s="11"/>
      <c r="G72" s="11"/>
      <c r="H72" s="11">
        <f t="shared" si="3"/>
        <v>0</v>
      </c>
    </row>
    <row r="73" spans="1:8" x14ac:dyDescent="0.3">
      <c r="A73" s="39" t="s">
        <v>49</v>
      </c>
      <c r="B73" s="39"/>
      <c r="C73" s="11"/>
      <c r="D73" s="11"/>
      <c r="E73" s="11"/>
      <c r="F73" s="11"/>
      <c r="G73" s="11"/>
      <c r="H73" s="11">
        <f t="shared" si="3"/>
        <v>0</v>
      </c>
    </row>
    <row r="74" spans="1:8" x14ac:dyDescent="0.3">
      <c r="A74" s="39" t="s">
        <v>50</v>
      </c>
      <c r="B74" s="39"/>
      <c r="C74" s="11"/>
      <c r="D74" s="11"/>
      <c r="E74" s="11"/>
      <c r="F74" s="11"/>
      <c r="G74" s="11"/>
      <c r="H74" s="11">
        <f t="shared" si="3"/>
        <v>0</v>
      </c>
    </row>
    <row r="75" spans="1:8" x14ac:dyDescent="0.3">
      <c r="A75" s="38" t="s">
        <v>51</v>
      </c>
      <c r="B75" s="38"/>
      <c r="C75" s="11"/>
      <c r="D75" s="11"/>
      <c r="E75" s="11"/>
      <c r="F75" s="11"/>
      <c r="G75" s="11"/>
      <c r="H75" s="11">
        <f t="shared" si="3"/>
        <v>0</v>
      </c>
    </row>
    <row r="76" spans="1:8" x14ac:dyDescent="0.3">
      <c r="A76" s="38" t="s">
        <v>52</v>
      </c>
      <c r="B76" s="38"/>
      <c r="C76" s="11"/>
      <c r="D76" s="11"/>
      <c r="E76" s="11"/>
      <c r="F76" s="11"/>
      <c r="G76" s="11"/>
      <c r="H76" s="11">
        <f t="shared" si="3"/>
        <v>0</v>
      </c>
    </row>
    <row r="77" spans="1:8" x14ac:dyDescent="0.3">
      <c r="A77" s="39" t="s">
        <v>53</v>
      </c>
      <c r="B77" s="39" t="s">
        <v>53</v>
      </c>
      <c r="C77" s="11" t="s">
        <v>394</v>
      </c>
      <c r="D77" s="11"/>
      <c r="E77" s="11"/>
      <c r="F77" s="11">
        <v>1</v>
      </c>
      <c r="G77" s="11"/>
      <c r="H77" s="11">
        <f t="shared" si="3"/>
        <v>1</v>
      </c>
    </row>
    <row r="78" spans="1:8" x14ac:dyDescent="0.3">
      <c r="A78" s="90" t="s">
        <v>54</v>
      </c>
      <c r="B78" s="42" t="s">
        <v>54</v>
      </c>
      <c r="C78" s="11" t="s">
        <v>395</v>
      </c>
      <c r="D78" s="11"/>
      <c r="E78" s="11">
        <v>1</v>
      </c>
      <c r="F78" s="11"/>
      <c r="G78" s="11">
        <v>1</v>
      </c>
      <c r="H78" s="11">
        <f t="shared" si="3"/>
        <v>2</v>
      </c>
    </row>
    <row r="79" spans="1:8" x14ac:dyDescent="0.3">
      <c r="A79" s="90"/>
      <c r="B79" s="42" t="s">
        <v>54</v>
      </c>
      <c r="C79" s="11" t="s">
        <v>397</v>
      </c>
      <c r="D79" s="11"/>
      <c r="E79" s="11"/>
      <c r="F79" s="11">
        <v>1</v>
      </c>
      <c r="G79" s="11"/>
      <c r="H79" s="11">
        <f t="shared" si="3"/>
        <v>1</v>
      </c>
    </row>
    <row r="80" spans="1:8" x14ac:dyDescent="0.3">
      <c r="A80" s="90"/>
      <c r="B80" s="42" t="s">
        <v>54</v>
      </c>
      <c r="C80" s="11" t="s">
        <v>396</v>
      </c>
      <c r="D80" s="11"/>
      <c r="E80" s="11"/>
      <c r="F80" s="11"/>
      <c r="G80" s="11">
        <v>1</v>
      </c>
      <c r="H80" s="11">
        <f t="shared" si="3"/>
        <v>1</v>
      </c>
    </row>
    <row r="81" spans="1:8" x14ac:dyDescent="0.3">
      <c r="A81" s="38" t="s">
        <v>55</v>
      </c>
      <c r="B81" s="38" t="s">
        <v>55</v>
      </c>
      <c r="C81" s="11" t="s">
        <v>398</v>
      </c>
      <c r="D81" s="11"/>
      <c r="E81" s="11">
        <v>1</v>
      </c>
      <c r="F81" s="11"/>
      <c r="G81" s="11">
        <v>1</v>
      </c>
      <c r="H81" s="11">
        <f t="shared" si="3"/>
        <v>2</v>
      </c>
    </row>
    <row r="82" spans="1:8" x14ac:dyDescent="0.3">
      <c r="A82" s="39" t="s">
        <v>56</v>
      </c>
      <c r="B82" s="39"/>
      <c r="C82" s="11"/>
      <c r="D82" s="11"/>
      <c r="E82" s="11"/>
      <c r="F82" s="11"/>
      <c r="G82" s="11"/>
      <c r="H82" s="11">
        <f t="shared" si="3"/>
        <v>0</v>
      </c>
    </row>
    <row r="83" spans="1:8" x14ac:dyDescent="0.3">
      <c r="A83" s="39" t="s">
        <v>57</v>
      </c>
      <c r="B83" s="39"/>
      <c r="C83" s="11"/>
      <c r="D83" s="11"/>
      <c r="E83" s="11"/>
      <c r="F83" s="11"/>
      <c r="G83" s="11"/>
      <c r="H83" s="11">
        <f t="shared" si="3"/>
        <v>0</v>
      </c>
    </row>
    <row r="84" spans="1:8" x14ac:dyDescent="0.3">
      <c r="A84" s="39" t="s">
        <v>58</v>
      </c>
      <c r="B84" s="39"/>
      <c r="C84" s="11"/>
      <c r="D84" s="11"/>
      <c r="E84" s="11"/>
      <c r="F84" s="11"/>
      <c r="G84" s="11"/>
      <c r="H84" s="11">
        <f t="shared" si="3"/>
        <v>0</v>
      </c>
    </row>
    <row r="85" spans="1:8" x14ac:dyDescent="0.3">
      <c r="A85" s="39" t="s">
        <v>59</v>
      </c>
      <c r="B85" s="39"/>
      <c r="C85" s="11"/>
      <c r="D85" s="11"/>
      <c r="E85" s="11"/>
      <c r="F85" s="11"/>
      <c r="G85" s="11"/>
      <c r="H85" s="11">
        <f t="shared" si="3"/>
        <v>0</v>
      </c>
    </row>
  </sheetData>
  <mergeCells count="10">
    <mergeCell ref="A78:A80"/>
    <mergeCell ref="A2:A3"/>
    <mergeCell ref="A5:A10"/>
    <mergeCell ref="A24:A27"/>
    <mergeCell ref="A12:A15"/>
    <mergeCell ref="A30:A34"/>
    <mergeCell ref="A53:A54"/>
    <mergeCell ref="A55:A56"/>
    <mergeCell ref="A59:A62"/>
    <mergeCell ref="A67:A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BC68-842E-4049-AE09-EF90A6FBE2C4}">
  <dimension ref="A1:L314"/>
  <sheetViews>
    <sheetView topLeftCell="A13" workbookViewId="0">
      <selection activeCell="A40" sqref="A1:H42"/>
    </sheetView>
  </sheetViews>
  <sheetFormatPr defaultRowHeight="14.4" x14ac:dyDescent="0.3"/>
  <cols>
    <col min="1" max="1" width="18.44140625" customWidth="1"/>
    <col min="2" max="2" width="18.44140625" hidden="1" customWidth="1"/>
    <col min="3" max="3" width="31.88671875" customWidth="1"/>
    <col min="5" max="5" width="5.5546875" customWidth="1"/>
    <col min="7" max="7" width="11.6640625" customWidth="1"/>
    <col min="8" max="8" width="6.109375" style="11" customWidth="1"/>
    <col min="10" max="10" width="21.77734375" customWidth="1"/>
    <col min="11" max="11" width="5.33203125" customWidth="1"/>
    <col min="12" max="12" width="4.88671875" customWidth="1"/>
  </cols>
  <sheetData>
    <row r="1" spans="1:12" x14ac:dyDescent="0.3">
      <c r="A1" s="10" t="s">
        <v>67</v>
      </c>
      <c r="B1" s="10"/>
      <c r="C1" s="10" t="s">
        <v>399</v>
      </c>
      <c r="D1" s="11" t="s">
        <v>354</v>
      </c>
      <c r="E1" s="11" t="s">
        <v>401</v>
      </c>
      <c r="F1" s="11" t="s">
        <v>355</v>
      </c>
      <c r="G1" s="29" t="s">
        <v>400</v>
      </c>
      <c r="H1" s="10" t="s">
        <v>228</v>
      </c>
      <c r="J1" s="1" t="s">
        <v>67</v>
      </c>
      <c r="K1" s="30" t="s">
        <v>337</v>
      </c>
      <c r="L1" s="30" t="s">
        <v>338</v>
      </c>
    </row>
    <row r="2" spans="1:12" x14ac:dyDescent="0.3">
      <c r="A2" s="85" t="s">
        <v>0</v>
      </c>
      <c r="B2" s="37" t="s">
        <v>0</v>
      </c>
      <c r="C2" s="11" t="s">
        <v>427</v>
      </c>
      <c r="D2" s="11"/>
      <c r="E2" s="11">
        <v>1</v>
      </c>
      <c r="F2" s="11"/>
      <c r="G2" s="29"/>
      <c r="H2" s="11">
        <f>SUM(D2:G2)</f>
        <v>1</v>
      </c>
      <c r="J2" s="5" t="s">
        <v>0</v>
      </c>
      <c r="K2">
        <f>SUMIF(B:B, J2, H:H)</f>
        <v>3</v>
      </c>
      <c r="L2">
        <f>COUNTIF(B:B, J2)</f>
        <v>2</v>
      </c>
    </row>
    <row r="3" spans="1:12" x14ac:dyDescent="0.3">
      <c r="A3" s="85"/>
      <c r="B3" s="37" t="s">
        <v>0</v>
      </c>
      <c r="C3" s="19" t="s">
        <v>443</v>
      </c>
      <c r="D3" s="11"/>
      <c r="E3" s="11">
        <v>1</v>
      </c>
      <c r="F3" s="11"/>
      <c r="G3" s="29">
        <v>1</v>
      </c>
      <c r="H3" s="11">
        <f t="shared" ref="H3:H66" si="0">SUM(D3:G3)</f>
        <v>2</v>
      </c>
      <c r="J3" s="5" t="s">
        <v>1</v>
      </c>
      <c r="K3">
        <f t="shared" ref="K3:K61" si="1">SUMIF(B:B, J3, H:H)</f>
        <v>1</v>
      </c>
      <c r="L3">
        <f t="shared" ref="L3:L61" si="2">COUNTIF(B:B, J3)</f>
        <v>1</v>
      </c>
    </row>
    <row r="4" spans="1:12" x14ac:dyDescent="0.3">
      <c r="A4" s="19" t="s">
        <v>1</v>
      </c>
      <c r="B4" s="19" t="s">
        <v>1</v>
      </c>
      <c r="C4" s="11" t="s">
        <v>449</v>
      </c>
      <c r="D4" s="11"/>
      <c r="E4" s="11"/>
      <c r="F4" s="11">
        <v>1</v>
      </c>
      <c r="G4" s="29"/>
      <c r="H4" s="11">
        <f t="shared" si="0"/>
        <v>1</v>
      </c>
      <c r="J4" s="5" t="s">
        <v>2</v>
      </c>
      <c r="K4">
        <f t="shared" si="1"/>
        <v>16</v>
      </c>
      <c r="L4">
        <f t="shared" si="2"/>
        <v>13</v>
      </c>
    </row>
    <row r="5" spans="1:12" x14ac:dyDescent="0.3">
      <c r="A5" s="77" t="s">
        <v>2</v>
      </c>
      <c r="B5" s="48" t="s">
        <v>2</v>
      </c>
      <c r="C5" s="11" t="s">
        <v>404</v>
      </c>
      <c r="D5" s="11">
        <v>1</v>
      </c>
      <c r="E5" s="11"/>
      <c r="F5" s="11"/>
      <c r="G5" s="29">
        <v>1</v>
      </c>
      <c r="H5" s="11">
        <f t="shared" si="0"/>
        <v>2</v>
      </c>
      <c r="J5" s="6" t="s">
        <v>3</v>
      </c>
      <c r="K5">
        <f t="shared" si="1"/>
        <v>4</v>
      </c>
      <c r="L5">
        <f t="shared" si="2"/>
        <v>3</v>
      </c>
    </row>
    <row r="6" spans="1:12" x14ac:dyDescent="0.3">
      <c r="A6" s="78"/>
      <c r="B6" s="48" t="s">
        <v>2</v>
      </c>
      <c r="C6" s="11" t="s">
        <v>405</v>
      </c>
      <c r="D6" s="11">
        <v>1</v>
      </c>
      <c r="E6" s="11">
        <v>1</v>
      </c>
      <c r="F6" s="11"/>
      <c r="G6" s="29">
        <v>1</v>
      </c>
      <c r="H6" s="11">
        <f t="shared" si="0"/>
        <v>3</v>
      </c>
      <c r="J6" s="5" t="s">
        <v>4</v>
      </c>
      <c r="K6">
        <f t="shared" si="1"/>
        <v>7</v>
      </c>
      <c r="L6">
        <f t="shared" si="2"/>
        <v>7</v>
      </c>
    </row>
    <row r="7" spans="1:12" x14ac:dyDescent="0.3">
      <c r="A7" s="78"/>
      <c r="B7" s="48" t="s">
        <v>2</v>
      </c>
      <c r="C7" s="11" t="s">
        <v>417</v>
      </c>
      <c r="D7" s="11"/>
      <c r="E7" s="11"/>
      <c r="F7" s="11"/>
      <c r="G7" s="29"/>
      <c r="H7" s="11">
        <f t="shared" si="0"/>
        <v>0</v>
      </c>
      <c r="J7" s="6" t="s">
        <v>5</v>
      </c>
      <c r="K7">
        <f t="shared" si="1"/>
        <v>2</v>
      </c>
      <c r="L7">
        <f t="shared" si="2"/>
        <v>2</v>
      </c>
    </row>
    <row r="8" spans="1:12" x14ac:dyDescent="0.3">
      <c r="A8" s="78"/>
      <c r="B8" s="48" t="s">
        <v>2</v>
      </c>
      <c r="C8" s="11" t="s">
        <v>429</v>
      </c>
      <c r="D8" s="11"/>
      <c r="E8" s="11">
        <v>1</v>
      </c>
      <c r="F8" s="11"/>
      <c r="G8" s="29">
        <v>1</v>
      </c>
      <c r="H8" s="11">
        <f t="shared" si="0"/>
        <v>2</v>
      </c>
      <c r="J8" s="5" t="s">
        <v>6</v>
      </c>
      <c r="K8">
        <f t="shared" si="1"/>
        <v>7</v>
      </c>
      <c r="L8">
        <f t="shared" si="2"/>
        <v>7</v>
      </c>
    </row>
    <row r="9" spans="1:12" x14ac:dyDescent="0.3">
      <c r="A9" s="78"/>
      <c r="B9" s="48" t="s">
        <v>2</v>
      </c>
      <c r="C9" s="11" t="s">
        <v>445</v>
      </c>
      <c r="D9" s="11"/>
      <c r="E9" s="11">
        <v>1</v>
      </c>
      <c r="F9" s="11"/>
      <c r="G9" s="29"/>
      <c r="H9" s="11">
        <f t="shared" si="0"/>
        <v>1</v>
      </c>
      <c r="J9" s="5" t="s">
        <v>7</v>
      </c>
      <c r="K9">
        <f t="shared" si="1"/>
        <v>3</v>
      </c>
      <c r="L9">
        <f t="shared" si="2"/>
        <v>2</v>
      </c>
    </row>
    <row r="10" spans="1:12" x14ac:dyDescent="0.3">
      <c r="A10" s="78"/>
      <c r="B10" s="48" t="s">
        <v>2</v>
      </c>
      <c r="C10" s="11" t="s">
        <v>452</v>
      </c>
      <c r="D10" s="11"/>
      <c r="E10" s="11"/>
      <c r="F10" s="11">
        <v>1</v>
      </c>
      <c r="G10" s="29"/>
      <c r="H10" s="11">
        <f t="shared" si="0"/>
        <v>1</v>
      </c>
      <c r="J10" s="5" t="s">
        <v>8</v>
      </c>
      <c r="K10">
        <f t="shared" si="1"/>
        <v>1</v>
      </c>
      <c r="L10">
        <f t="shared" si="2"/>
        <v>1</v>
      </c>
    </row>
    <row r="11" spans="1:12" x14ac:dyDescent="0.3">
      <c r="A11" s="78"/>
      <c r="B11" s="48" t="s">
        <v>2</v>
      </c>
      <c r="C11" s="11" t="s">
        <v>477</v>
      </c>
      <c r="D11" s="11"/>
      <c r="E11" s="11"/>
      <c r="F11" s="11"/>
      <c r="G11" s="29">
        <v>1</v>
      </c>
      <c r="H11" s="11">
        <f t="shared" si="0"/>
        <v>1</v>
      </c>
      <c r="J11" s="7" t="s">
        <v>9</v>
      </c>
      <c r="K11">
        <f t="shared" si="1"/>
        <v>2</v>
      </c>
      <c r="L11">
        <f t="shared" si="2"/>
        <v>3</v>
      </c>
    </row>
    <row r="12" spans="1:12" x14ac:dyDescent="0.3">
      <c r="A12" s="78"/>
      <c r="B12" s="48" t="s">
        <v>2</v>
      </c>
      <c r="C12" s="11" t="s">
        <v>478</v>
      </c>
      <c r="D12" s="11"/>
      <c r="E12" s="11"/>
      <c r="F12" s="11"/>
      <c r="G12" s="29">
        <v>1</v>
      </c>
      <c r="H12" s="11">
        <f t="shared" si="0"/>
        <v>1</v>
      </c>
      <c r="J12" s="5" t="s">
        <v>10</v>
      </c>
      <c r="K12">
        <f t="shared" si="1"/>
        <v>0</v>
      </c>
      <c r="L12">
        <f t="shared" si="2"/>
        <v>0</v>
      </c>
    </row>
    <row r="13" spans="1:12" x14ac:dyDescent="0.3">
      <c r="A13" s="78"/>
      <c r="B13" s="48" t="s">
        <v>2</v>
      </c>
      <c r="C13" s="11" t="s">
        <v>483</v>
      </c>
      <c r="D13" s="11"/>
      <c r="E13" s="11"/>
      <c r="F13" s="11"/>
      <c r="G13" s="29">
        <v>1</v>
      </c>
      <c r="H13" s="11">
        <f t="shared" si="0"/>
        <v>1</v>
      </c>
      <c r="J13" s="8" t="s">
        <v>11</v>
      </c>
      <c r="K13">
        <f t="shared" si="1"/>
        <v>1</v>
      </c>
      <c r="L13">
        <f t="shared" si="2"/>
        <v>1</v>
      </c>
    </row>
    <row r="14" spans="1:12" x14ac:dyDescent="0.3">
      <c r="A14" s="78"/>
      <c r="B14" s="48" t="s">
        <v>2</v>
      </c>
      <c r="C14" s="11" t="s">
        <v>488</v>
      </c>
      <c r="D14" s="11"/>
      <c r="E14" s="11"/>
      <c r="F14" s="11"/>
      <c r="G14" s="29">
        <v>1</v>
      </c>
      <c r="H14" s="11">
        <f t="shared" si="0"/>
        <v>1</v>
      </c>
      <c r="J14" s="6" t="s">
        <v>12</v>
      </c>
      <c r="K14">
        <f t="shared" si="1"/>
        <v>1</v>
      </c>
      <c r="L14">
        <f t="shared" si="2"/>
        <v>1</v>
      </c>
    </row>
    <row r="15" spans="1:12" x14ac:dyDescent="0.3">
      <c r="A15" s="78"/>
      <c r="B15" s="48" t="s">
        <v>2</v>
      </c>
      <c r="C15" s="11" t="s">
        <v>362</v>
      </c>
      <c r="D15" s="11"/>
      <c r="E15" s="11"/>
      <c r="F15" s="11"/>
      <c r="G15" s="29">
        <v>1</v>
      </c>
      <c r="H15" s="11">
        <f t="shared" si="0"/>
        <v>1</v>
      </c>
      <c r="J15" s="8" t="s">
        <v>13</v>
      </c>
      <c r="K15">
        <f t="shared" si="1"/>
        <v>6</v>
      </c>
      <c r="L15">
        <f t="shared" si="2"/>
        <v>3</v>
      </c>
    </row>
    <row r="16" spans="1:12" x14ac:dyDescent="0.3">
      <c r="A16" s="78"/>
      <c r="B16" s="48" t="s">
        <v>2</v>
      </c>
      <c r="C16" s="11" t="s">
        <v>490</v>
      </c>
      <c r="D16" s="11"/>
      <c r="E16" s="11"/>
      <c r="F16" s="11"/>
      <c r="G16" s="29">
        <v>1</v>
      </c>
      <c r="H16" s="11">
        <f t="shared" si="0"/>
        <v>1</v>
      </c>
      <c r="J16" s="8" t="s">
        <v>14</v>
      </c>
      <c r="K16">
        <f t="shared" si="1"/>
        <v>0</v>
      </c>
      <c r="L16">
        <f t="shared" si="2"/>
        <v>0</v>
      </c>
    </row>
    <row r="17" spans="1:12" x14ac:dyDescent="0.3">
      <c r="A17" s="79"/>
      <c r="B17" s="48" t="s">
        <v>2</v>
      </c>
      <c r="C17" s="11" t="s">
        <v>492</v>
      </c>
      <c r="D17" s="11"/>
      <c r="E17" s="11"/>
      <c r="F17" s="11"/>
      <c r="G17" s="29">
        <v>1</v>
      </c>
      <c r="H17" s="11">
        <f t="shared" si="0"/>
        <v>1</v>
      </c>
      <c r="J17" s="6" t="s">
        <v>15</v>
      </c>
      <c r="K17">
        <f t="shared" si="1"/>
        <v>2</v>
      </c>
      <c r="L17">
        <f t="shared" si="2"/>
        <v>2</v>
      </c>
    </row>
    <row r="18" spans="1:12" x14ac:dyDescent="0.3">
      <c r="A18" s="83" t="s">
        <v>3</v>
      </c>
      <c r="B18" s="44" t="s">
        <v>3</v>
      </c>
      <c r="C18" s="11" t="s">
        <v>407</v>
      </c>
      <c r="D18" s="11">
        <v>1</v>
      </c>
      <c r="E18" s="11">
        <v>1</v>
      </c>
      <c r="F18" s="11"/>
      <c r="G18" s="29"/>
      <c r="H18" s="11">
        <f t="shared" si="0"/>
        <v>2</v>
      </c>
      <c r="J18" s="8" t="s">
        <v>16</v>
      </c>
      <c r="K18">
        <f t="shared" si="1"/>
        <v>5</v>
      </c>
      <c r="L18">
        <f t="shared" si="2"/>
        <v>4</v>
      </c>
    </row>
    <row r="19" spans="1:12" x14ac:dyDescent="0.3">
      <c r="A19" s="91"/>
      <c r="B19" s="44" t="s">
        <v>3</v>
      </c>
      <c r="C19" s="11" t="s">
        <v>442</v>
      </c>
      <c r="D19" s="11"/>
      <c r="E19" s="11">
        <v>1</v>
      </c>
      <c r="F19" s="11"/>
      <c r="G19" s="29"/>
      <c r="H19" s="11">
        <f t="shared" si="0"/>
        <v>1</v>
      </c>
      <c r="J19" s="8" t="s">
        <v>17</v>
      </c>
      <c r="K19">
        <f t="shared" si="1"/>
        <v>2</v>
      </c>
      <c r="L19">
        <f t="shared" si="2"/>
        <v>2</v>
      </c>
    </row>
    <row r="20" spans="1:12" x14ac:dyDescent="0.3">
      <c r="A20" s="84"/>
      <c r="B20" s="44" t="s">
        <v>3</v>
      </c>
      <c r="C20" s="11" t="s">
        <v>484</v>
      </c>
      <c r="D20" s="11"/>
      <c r="E20" s="11"/>
      <c r="F20" s="11"/>
      <c r="G20" s="29">
        <v>1</v>
      </c>
      <c r="H20" s="11">
        <f t="shared" si="0"/>
        <v>1</v>
      </c>
      <c r="J20" s="6" t="s">
        <v>18</v>
      </c>
      <c r="K20">
        <f t="shared" si="1"/>
        <v>2</v>
      </c>
      <c r="L20">
        <f t="shared" si="2"/>
        <v>3</v>
      </c>
    </row>
    <row r="21" spans="1:12" x14ac:dyDescent="0.3">
      <c r="A21" s="77" t="s">
        <v>4</v>
      </c>
      <c r="B21" s="48" t="s">
        <v>4</v>
      </c>
      <c r="C21" s="11" t="s">
        <v>409</v>
      </c>
      <c r="D21" s="11">
        <v>1</v>
      </c>
      <c r="E21" s="11"/>
      <c r="F21" s="11"/>
      <c r="G21" s="29"/>
      <c r="H21" s="11">
        <f t="shared" si="0"/>
        <v>1</v>
      </c>
      <c r="J21" s="6" t="s">
        <v>19</v>
      </c>
      <c r="K21">
        <f t="shared" si="1"/>
        <v>0</v>
      </c>
      <c r="L21">
        <f t="shared" si="2"/>
        <v>0</v>
      </c>
    </row>
    <row r="22" spans="1:12" x14ac:dyDescent="0.3">
      <c r="A22" s="78"/>
      <c r="B22" s="48" t="s">
        <v>4</v>
      </c>
      <c r="C22" s="11" t="s">
        <v>423</v>
      </c>
      <c r="D22" s="11"/>
      <c r="E22" s="11">
        <v>1</v>
      </c>
      <c r="F22" s="11"/>
      <c r="G22" s="29"/>
      <c r="H22" s="11">
        <f t="shared" si="0"/>
        <v>1</v>
      </c>
      <c r="J22" s="6" t="s">
        <v>20</v>
      </c>
      <c r="K22">
        <f t="shared" si="1"/>
        <v>3</v>
      </c>
      <c r="L22">
        <f t="shared" si="2"/>
        <v>2</v>
      </c>
    </row>
    <row r="23" spans="1:12" x14ac:dyDescent="0.3">
      <c r="A23" s="78"/>
      <c r="B23" s="48" t="s">
        <v>4</v>
      </c>
      <c r="C23" s="11" t="s">
        <v>434</v>
      </c>
      <c r="D23" s="11"/>
      <c r="E23" s="11">
        <v>1</v>
      </c>
      <c r="F23" s="11"/>
      <c r="G23" s="29"/>
      <c r="H23" s="11">
        <f t="shared" si="0"/>
        <v>1</v>
      </c>
      <c r="J23" s="8" t="s">
        <v>21</v>
      </c>
      <c r="K23">
        <f t="shared" si="1"/>
        <v>1</v>
      </c>
      <c r="L23">
        <f t="shared" si="2"/>
        <v>1</v>
      </c>
    </row>
    <row r="24" spans="1:12" x14ac:dyDescent="0.3">
      <c r="A24" s="78"/>
      <c r="B24" s="48" t="s">
        <v>4</v>
      </c>
      <c r="C24" s="11" t="s">
        <v>454</v>
      </c>
      <c r="D24" s="11"/>
      <c r="E24" s="11"/>
      <c r="F24" s="11">
        <v>1</v>
      </c>
      <c r="G24" s="29"/>
      <c r="H24" s="11">
        <f t="shared" si="0"/>
        <v>1</v>
      </c>
      <c r="J24" s="8" t="s">
        <v>22</v>
      </c>
      <c r="K24">
        <f t="shared" si="1"/>
        <v>0</v>
      </c>
      <c r="L24">
        <f t="shared" si="2"/>
        <v>0</v>
      </c>
    </row>
    <row r="25" spans="1:12" x14ac:dyDescent="0.3">
      <c r="A25" s="78"/>
      <c r="B25" s="48" t="s">
        <v>4</v>
      </c>
      <c r="C25" s="11" t="s">
        <v>467</v>
      </c>
      <c r="D25" s="11"/>
      <c r="E25" s="11"/>
      <c r="F25" s="11">
        <v>1</v>
      </c>
      <c r="G25" s="29"/>
      <c r="H25" s="11">
        <f t="shared" si="0"/>
        <v>1</v>
      </c>
      <c r="J25" s="8" t="s">
        <v>23</v>
      </c>
      <c r="K25">
        <f t="shared" si="1"/>
        <v>0</v>
      </c>
      <c r="L25">
        <f t="shared" si="2"/>
        <v>0</v>
      </c>
    </row>
    <row r="26" spans="1:12" x14ac:dyDescent="0.3">
      <c r="A26" s="78"/>
      <c r="B26" s="48" t="s">
        <v>4</v>
      </c>
      <c r="C26" s="11" t="s">
        <v>473</v>
      </c>
      <c r="D26" s="11"/>
      <c r="E26" s="11"/>
      <c r="F26" s="11">
        <v>1</v>
      </c>
      <c r="G26" s="29"/>
      <c r="H26" s="11">
        <f t="shared" si="0"/>
        <v>1</v>
      </c>
      <c r="J26" s="8" t="s">
        <v>24</v>
      </c>
      <c r="K26">
        <f t="shared" si="1"/>
        <v>0</v>
      </c>
      <c r="L26">
        <f t="shared" si="2"/>
        <v>0</v>
      </c>
    </row>
    <row r="27" spans="1:12" x14ac:dyDescent="0.3">
      <c r="A27" s="78"/>
      <c r="B27" s="48" t="s">
        <v>4</v>
      </c>
      <c r="C27" s="11" t="s">
        <v>485</v>
      </c>
      <c r="D27" s="11"/>
      <c r="E27" s="11"/>
      <c r="F27" s="11"/>
      <c r="G27" s="29">
        <v>1</v>
      </c>
      <c r="H27" s="11">
        <f t="shared" si="0"/>
        <v>1</v>
      </c>
      <c r="J27" s="6" t="s">
        <v>25</v>
      </c>
      <c r="K27">
        <f t="shared" si="1"/>
        <v>0</v>
      </c>
      <c r="L27">
        <f t="shared" si="2"/>
        <v>0</v>
      </c>
    </row>
    <row r="28" spans="1:12" x14ac:dyDescent="0.3">
      <c r="A28" s="83" t="s">
        <v>5</v>
      </c>
      <c r="B28" s="44" t="s">
        <v>5</v>
      </c>
      <c r="C28" s="11" t="s">
        <v>436</v>
      </c>
      <c r="D28" s="11"/>
      <c r="E28" s="11">
        <v>1</v>
      </c>
      <c r="F28" s="11"/>
      <c r="G28" s="29"/>
      <c r="H28" s="11">
        <f t="shared" si="0"/>
        <v>1</v>
      </c>
      <c r="J28" s="6" t="s">
        <v>26</v>
      </c>
      <c r="K28">
        <f t="shared" si="1"/>
        <v>4</v>
      </c>
      <c r="L28">
        <f t="shared" si="2"/>
        <v>4</v>
      </c>
    </row>
    <row r="29" spans="1:12" x14ac:dyDescent="0.3">
      <c r="A29" s="84"/>
      <c r="B29" s="44" t="s">
        <v>5</v>
      </c>
      <c r="C29" s="11" t="s">
        <v>466</v>
      </c>
      <c r="D29" s="11"/>
      <c r="E29" s="11"/>
      <c r="F29" s="11">
        <v>1</v>
      </c>
      <c r="G29" s="29"/>
      <c r="H29" s="11">
        <f t="shared" si="0"/>
        <v>1</v>
      </c>
      <c r="J29" s="8" t="s">
        <v>27</v>
      </c>
      <c r="K29">
        <f t="shared" si="1"/>
        <v>0</v>
      </c>
      <c r="L29">
        <f t="shared" si="2"/>
        <v>0</v>
      </c>
    </row>
    <row r="30" spans="1:12" x14ac:dyDescent="0.3">
      <c r="A30" s="77" t="s">
        <v>6</v>
      </c>
      <c r="B30" s="48" t="s">
        <v>6</v>
      </c>
      <c r="C30" s="11" t="s">
        <v>432</v>
      </c>
      <c r="D30" s="11"/>
      <c r="E30" s="11">
        <v>1</v>
      </c>
      <c r="F30" s="11"/>
      <c r="G30" s="29"/>
      <c r="H30" s="11">
        <f t="shared" si="0"/>
        <v>1</v>
      </c>
      <c r="J30" s="8" t="s">
        <v>28</v>
      </c>
      <c r="K30">
        <f t="shared" si="1"/>
        <v>0</v>
      </c>
      <c r="L30">
        <f t="shared" si="2"/>
        <v>0</v>
      </c>
    </row>
    <row r="31" spans="1:12" x14ac:dyDescent="0.3">
      <c r="A31" s="78"/>
      <c r="B31" s="48" t="s">
        <v>6</v>
      </c>
      <c r="C31" s="11" t="s">
        <v>453</v>
      </c>
      <c r="D31" s="11"/>
      <c r="E31" s="11"/>
      <c r="F31" s="11">
        <v>1</v>
      </c>
      <c r="G31" s="29"/>
      <c r="H31" s="11">
        <f t="shared" si="0"/>
        <v>1</v>
      </c>
      <c r="J31" s="6" t="s">
        <v>29</v>
      </c>
      <c r="K31">
        <f t="shared" si="1"/>
        <v>0</v>
      </c>
      <c r="L31">
        <f t="shared" si="2"/>
        <v>0</v>
      </c>
    </row>
    <row r="32" spans="1:12" x14ac:dyDescent="0.3">
      <c r="A32" s="78"/>
      <c r="B32" s="48" t="s">
        <v>6</v>
      </c>
      <c r="C32" s="11" t="s">
        <v>455</v>
      </c>
      <c r="D32" s="11"/>
      <c r="E32" s="11"/>
      <c r="F32" s="11">
        <v>1</v>
      </c>
      <c r="G32" s="29"/>
      <c r="H32" s="11">
        <f t="shared" si="0"/>
        <v>1</v>
      </c>
      <c r="J32" s="8" t="s">
        <v>30</v>
      </c>
      <c r="K32">
        <f t="shared" si="1"/>
        <v>4</v>
      </c>
      <c r="L32">
        <f t="shared" si="2"/>
        <v>2</v>
      </c>
    </row>
    <row r="33" spans="1:12" x14ac:dyDescent="0.3">
      <c r="A33" s="78"/>
      <c r="B33" s="48" t="s">
        <v>6</v>
      </c>
      <c r="C33" s="11" t="s">
        <v>457</v>
      </c>
      <c r="D33" s="11"/>
      <c r="E33" s="11"/>
      <c r="F33" s="11">
        <v>1</v>
      </c>
      <c r="G33" s="29"/>
      <c r="H33" s="11">
        <f t="shared" si="0"/>
        <v>1</v>
      </c>
      <c r="J33" s="8" t="s">
        <v>31</v>
      </c>
      <c r="K33">
        <f t="shared" si="1"/>
        <v>0</v>
      </c>
      <c r="L33">
        <f t="shared" si="2"/>
        <v>0</v>
      </c>
    </row>
    <row r="34" spans="1:12" x14ac:dyDescent="0.3">
      <c r="A34" s="78"/>
      <c r="B34" s="48" t="s">
        <v>6</v>
      </c>
      <c r="C34" s="11" t="s">
        <v>462</v>
      </c>
      <c r="D34" s="11"/>
      <c r="E34" s="11"/>
      <c r="F34" s="11">
        <v>1</v>
      </c>
      <c r="G34" s="29"/>
      <c r="H34" s="11">
        <f t="shared" si="0"/>
        <v>1</v>
      </c>
      <c r="J34" s="6" t="s">
        <v>32</v>
      </c>
      <c r="K34">
        <f t="shared" si="1"/>
        <v>4</v>
      </c>
      <c r="L34">
        <f t="shared" si="2"/>
        <v>3</v>
      </c>
    </row>
    <row r="35" spans="1:12" x14ac:dyDescent="0.3">
      <c r="A35" s="78"/>
      <c r="B35" s="48" t="s">
        <v>6</v>
      </c>
      <c r="C35" s="11" t="s">
        <v>475</v>
      </c>
      <c r="D35" s="11"/>
      <c r="E35" s="11"/>
      <c r="F35" s="11"/>
      <c r="G35" s="29">
        <v>1</v>
      </c>
      <c r="H35" s="11">
        <f t="shared" si="0"/>
        <v>1</v>
      </c>
      <c r="J35" s="6" t="s">
        <v>33</v>
      </c>
      <c r="K35">
        <f t="shared" si="1"/>
        <v>2</v>
      </c>
      <c r="L35">
        <f t="shared" si="2"/>
        <v>2</v>
      </c>
    </row>
    <row r="36" spans="1:12" x14ac:dyDescent="0.3">
      <c r="A36" s="78"/>
      <c r="B36" s="48" t="s">
        <v>6</v>
      </c>
      <c r="C36" s="11" t="s">
        <v>486</v>
      </c>
      <c r="D36" s="11"/>
      <c r="E36" s="11"/>
      <c r="F36" s="11"/>
      <c r="G36" s="29">
        <v>1</v>
      </c>
      <c r="H36" s="11">
        <f t="shared" si="0"/>
        <v>1</v>
      </c>
      <c r="J36" s="6" t="s">
        <v>34</v>
      </c>
      <c r="K36">
        <f t="shared" si="1"/>
        <v>1</v>
      </c>
      <c r="L36">
        <f t="shared" si="2"/>
        <v>1</v>
      </c>
    </row>
    <row r="37" spans="1:12" x14ac:dyDescent="0.3">
      <c r="A37" s="77" t="s">
        <v>7</v>
      </c>
      <c r="B37" s="48" t="s">
        <v>7</v>
      </c>
      <c r="C37" s="11" t="s">
        <v>420</v>
      </c>
      <c r="D37" s="11"/>
      <c r="E37" s="11">
        <v>1</v>
      </c>
      <c r="F37" s="11"/>
      <c r="G37" s="29">
        <v>1</v>
      </c>
      <c r="H37" s="11">
        <f t="shared" si="0"/>
        <v>2</v>
      </c>
      <c r="J37" s="8" t="s">
        <v>35</v>
      </c>
      <c r="K37">
        <f t="shared" si="1"/>
        <v>4</v>
      </c>
      <c r="L37">
        <f t="shared" si="2"/>
        <v>2</v>
      </c>
    </row>
    <row r="38" spans="1:12" x14ac:dyDescent="0.3">
      <c r="A38" s="78"/>
      <c r="B38" s="48" t="s">
        <v>7</v>
      </c>
      <c r="C38" s="11" t="s">
        <v>357</v>
      </c>
      <c r="D38" s="11"/>
      <c r="E38" s="11">
        <v>1</v>
      </c>
      <c r="F38" s="11"/>
      <c r="G38" s="29"/>
      <c r="H38" s="11">
        <f t="shared" si="0"/>
        <v>1</v>
      </c>
      <c r="J38" s="8" t="s">
        <v>36</v>
      </c>
      <c r="K38">
        <f t="shared" si="1"/>
        <v>3</v>
      </c>
      <c r="L38">
        <f t="shared" si="2"/>
        <v>3</v>
      </c>
    </row>
    <row r="39" spans="1:12" x14ac:dyDescent="0.3">
      <c r="A39" s="19" t="s">
        <v>8</v>
      </c>
      <c r="B39" s="19" t="s">
        <v>8</v>
      </c>
      <c r="C39" s="11" t="s">
        <v>482</v>
      </c>
      <c r="D39" s="11"/>
      <c r="E39" s="11"/>
      <c r="F39" s="11"/>
      <c r="G39" s="29">
        <v>1</v>
      </c>
      <c r="H39" s="11">
        <f t="shared" si="0"/>
        <v>1</v>
      </c>
      <c r="J39" s="6" t="s">
        <v>37</v>
      </c>
      <c r="K39">
        <f t="shared" si="1"/>
        <v>1</v>
      </c>
      <c r="L39">
        <f t="shared" si="2"/>
        <v>1</v>
      </c>
    </row>
    <row r="40" spans="1:12" x14ac:dyDescent="0.3">
      <c r="A40" s="83" t="s">
        <v>9</v>
      </c>
      <c r="B40" s="44" t="s">
        <v>9</v>
      </c>
      <c r="C40" s="11" t="s">
        <v>408</v>
      </c>
      <c r="D40" s="11">
        <v>1</v>
      </c>
      <c r="E40" s="11"/>
      <c r="F40" s="11"/>
      <c r="G40" s="29"/>
      <c r="H40" s="11">
        <f t="shared" si="0"/>
        <v>1</v>
      </c>
      <c r="J40" s="8" t="s">
        <v>38</v>
      </c>
      <c r="K40">
        <f t="shared" si="1"/>
        <v>0</v>
      </c>
      <c r="L40">
        <f t="shared" si="2"/>
        <v>0</v>
      </c>
    </row>
    <row r="41" spans="1:12" x14ac:dyDescent="0.3">
      <c r="A41" s="91"/>
      <c r="B41" s="44" t="s">
        <v>9</v>
      </c>
      <c r="C41" s="11" t="s">
        <v>470</v>
      </c>
      <c r="D41" s="11"/>
      <c r="E41" s="11"/>
      <c r="F41" s="11">
        <v>1</v>
      </c>
      <c r="G41" s="29"/>
      <c r="H41" s="11">
        <f t="shared" si="0"/>
        <v>1</v>
      </c>
      <c r="J41" s="8" t="s">
        <v>39</v>
      </c>
      <c r="K41">
        <f t="shared" si="1"/>
        <v>4</v>
      </c>
      <c r="L41">
        <f t="shared" si="2"/>
        <v>2</v>
      </c>
    </row>
    <row r="42" spans="1:12" x14ac:dyDescent="0.3">
      <c r="A42" s="84"/>
      <c r="B42" s="44" t="s">
        <v>9</v>
      </c>
      <c r="C42" s="11" t="s">
        <v>480</v>
      </c>
      <c r="D42" s="11"/>
      <c r="E42" s="11"/>
      <c r="F42" s="11"/>
      <c r="G42" s="29"/>
      <c r="H42" s="11">
        <f t="shared" si="0"/>
        <v>0</v>
      </c>
      <c r="J42" s="6" t="s">
        <v>40</v>
      </c>
      <c r="K42">
        <f t="shared" si="1"/>
        <v>1</v>
      </c>
      <c r="L42">
        <f t="shared" si="2"/>
        <v>1</v>
      </c>
    </row>
    <row r="43" spans="1:12" x14ac:dyDescent="0.3">
      <c r="A43" s="19" t="s">
        <v>10</v>
      </c>
      <c r="B43" s="19"/>
      <c r="C43" s="11"/>
      <c r="D43" s="11"/>
      <c r="E43" s="11"/>
      <c r="F43" s="11"/>
      <c r="G43" s="29"/>
      <c r="H43" s="11">
        <f t="shared" si="0"/>
        <v>0</v>
      </c>
      <c r="J43" s="6" t="s">
        <v>41</v>
      </c>
      <c r="K43">
        <f t="shared" si="1"/>
        <v>0</v>
      </c>
      <c r="L43">
        <f t="shared" si="2"/>
        <v>0</v>
      </c>
    </row>
    <row r="44" spans="1:12" x14ac:dyDescent="0.3">
      <c r="A44" s="39" t="s">
        <v>11</v>
      </c>
      <c r="B44" s="39" t="s">
        <v>11</v>
      </c>
      <c r="C44" s="11" t="s">
        <v>451</v>
      </c>
      <c r="D44" s="11"/>
      <c r="E44" s="11"/>
      <c r="F44" s="11">
        <v>1</v>
      </c>
      <c r="G44" s="29"/>
      <c r="H44" s="11">
        <f t="shared" si="0"/>
        <v>1</v>
      </c>
      <c r="J44" s="6" t="s">
        <v>42</v>
      </c>
      <c r="K44">
        <f t="shared" si="1"/>
        <v>0</v>
      </c>
      <c r="L44">
        <f t="shared" si="2"/>
        <v>0</v>
      </c>
    </row>
    <row r="45" spans="1:12" x14ac:dyDescent="0.3">
      <c r="A45" s="38" t="s">
        <v>12</v>
      </c>
      <c r="B45" s="38" t="s">
        <v>12</v>
      </c>
      <c r="C45" s="11" t="s">
        <v>422</v>
      </c>
      <c r="D45" s="11"/>
      <c r="E45" s="11">
        <v>1</v>
      </c>
      <c r="F45" s="11"/>
      <c r="G45" s="29"/>
      <c r="H45" s="11">
        <f t="shared" si="0"/>
        <v>1</v>
      </c>
      <c r="J45" s="6" t="s">
        <v>43</v>
      </c>
      <c r="K45">
        <f t="shared" si="1"/>
        <v>1</v>
      </c>
      <c r="L45">
        <f t="shared" si="2"/>
        <v>1</v>
      </c>
    </row>
    <row r="46" spans="1:12" x14ac:dyDescent="0.3">
      <c r="A46" s="86" t="s">
        <v>13</v>
      </c>
      <c r="B46" s="40" t="s">
        <v>13</v>
      </c>
      <c r="C46" s="11" t="s">
        <v>411</v>
      </c>
      <c r="D46" s="11">
        <v>1</v>
      </c>
      <c r="E46" s="11"/>
      <c r="F46" s="11"/>
      <c r="G46" s="29">
        <v>1</v>
      </c>
      <c r="H46" s="11">
        <f t="shared" si="0"/>
        <v>2</v>
      </c>
      <c r="J46" s="8" t="s">
        <v>44</v>
      </c>
      <c r="K46">
        <f t="shared" si="1"/>
        <v>5</v>
      </c>
      <c r="L46">
        <f t="shared" si="2"/>
        <v>2</v>
      </c>
    </row>
    <row r="47" spans="1:12" x14ac:dyDescent="0.3">
      <c r="A47" s="86"/>
      <c r="B47" s="40" t="s">
        <v>13</v>
      </c>
      <c r="C47" s="39" t="s">
        <v>448</v>
      </c>
      <c r="D47" s="11"/>
      <c r="E47" s="11">
        <v>1</v>
      </c>
      <c r="F47" s="11"/>
      <c r="G47" s="29">
        <v>1</v>
      </c>
      <c r="H47" s="11">
        <f t="shared" si="0"/>
        <v>2</v>
      </c>
      <c r="J47" s="6" t="s">
        <v>45</v>
      </c>
      <c r="K47">
        <f t="shared" si="1"/>
        <v>0</v>
      </c>
      <c r="L47">
        <f t="shared" si="2"/>
        <v>0</v>
      </c>
    </row>
    <row r="48" spans="1:12" x14ac:dyDescent="0.3">
      <c r="A48" s="86"/>
      <c r="B48" s="40" t="s">
        <v>13</v>
      </c>
      <c r="C48" s="39" t="s">
        <v>464</v>
      </c>
      <c r="D48" s="11"/>
      <c r="E48" s="11">
        <v>1</v>
      </c>
      <c r="F48" s="11">
        <v>1</v>
      </c>
      <c r="G48" s="29"/>
      <c r="H48" s="11">
        <f t="shared" si="0"/>
        <v>2</v>
      </c>
      <c r="J48" s="8" t="s">
        <v>46</v>
      </c>
      <c r="K48">
        <f t="shared" si="1"/>
        <v>0</v>
      </c>
      <c r="L48">
        <f t="shared" si="2"/>
        <v>0</v>
      </c>
    </row>
    <row r="49" spans="1:12" x14ac:dyDescent="0.3">
      <c r="A49" s="39" t="s">
        <v>14</v>
      </c>
      <c r="B49" s="39"/>
      <c r="C49" s="11"/>
      <c r="D49" s="11"/>
      <c r="E49" s="11"/>
      <c r="F49" s="11"/>
      <c r="G49" s="29"/>
      <c r="H49" s="11">
        <f t="shared" si="0"/>
        <v>0</v>
      </c>
      <c r="J49" s="8" t="s">
        <v>47</v>
      </c>
      <c r="K49">
        <f t="shared" si="1"/>
        <v>2</v>
      </c>
      <c r="L49">
        <f t="shared" si="2"/>
        <v>2</v>
      </c>
    </row>
    <row r="50" spans="1:12" x14ac:dyDescent="0.3">
      <c r="A50" s="83" t="s">
        <v>15</v>
      </c>
      <c r="B50" s="44" t="s">
        <v>15</v>
      </c>
      <c r="C50" s="11" t="s">
        <v>414</v>
      </c>
      <c r="D50" s="11">
        <v>1</v>
      </c>
      <c r="E50" s="11"/>
      <c r="F50" s="11"/>
      <c r="G50" s="29"/>
      <c r="H50" s="11">
        <f t="shared" si="0"/>
        <v>1</v>
      </c>
      <c r="J50" s="8" t="s">
        <v>48</v>
      </c>
      <c r="K50">
        <f t="shared" si="1"/>
        <v>0</v>
      </c>
      <c r="L50">
        <f t="shared" si="2"/>
        <v>0</v>
      </c>
    </row>
    <row r="51" spans="1:12" x14ac:dyDescent="0.3">
      <c r="A51" s="84"/>
      <c r="B51" s="44" t="s">
        <v>15</v>
      </c>
      <c r="C51" s="11" t="s">
        <v>494</v>
      </c>
      <c r="D51" s="11"/>
      <c r="E51" s="11"/>
      <c r="F51" s="11"/>
      <c r="G51" s="29">
        <v>1</v>
      </c>
      <c r="H51" s="11">
        <f t="shared" si="0"/>
        <v>1</v>
      </c>
      <c r="J51" s="8" t="s">
        <v>49</v>
      </c>
      <c r="K51">
        <f t="shared" si="1"/>
        <v>1</v>
      </c>
      <c r="L51">
        <f t="shared" si="2"/>
        <v>1</v>
      </c>
    </row>
    <row r="52" spans="1:12" x14ac:dyDescent="0.3">
      <c r="A52" s="86" t="s">
        <v>16</v>
      </c>
      <c r="B52" s="40" t="s">
        <v>16</v>
      </c>
      <c r="C52" s="11" t="s">
        <v>416</v>
      </c>
      <c r="D52" s="11">
        <v>1</v>
      </c>
      <c r="E52" s="11">
        <v>1</v>
      </c>
      <c r="F52" s="11"/>
      <c r="G52" s="29">
        <v>1</v>
      </c>
      <c r="H52" s="11">
        <f t="shared" si="0"/>
        <v>3</v>
      </c>
      <c r="J52" s="8" t="s">
        <v>50</v>
      </c>
      <c r="K52">
        <f t="shared" si="1"/>
        <v>0</v>
      </c>
      <c r="L52">
        <f t="shared" si="2"/>
        <v>0</v>
      </c>
    </row>
    <row r="53" spans="1:12" x14ac:dyDescent="0.3">
      <c r="A53" s="86"/>
      <c r="B53" s="40" t="s">
        <v>16</v>
      </c>
      <c r="C53" s="39" t="s">
        <v>282</v>
      </c>
      <c r="D53" s="11"/>
      <c r="E53" s="11"/>
      <c r="F53" s="11"/>
      <c r="G53" s="29"/>
      <c r="H53" s="11">
        <f t="shared" si="0"/>
        <v>0</v>
      </c>
      <c r="J53" s="6" t="s">
        <v>51</v>
      </c>
      <c r="K53">
        <f t="shared" si="1"/>
        <v>2</v>
      </c>
      <c r="L53">
        <f t="shared" si="2"/>
        <v>2</v>
      </c>
    </row>
    <row r="54" spans="1:12" x14ac:dyDescent="0.3">
      <c r="A54" s="86"/>
      <c r="B54" s="40" t="s">
        <v>16</v>
      </c>
      <c r="C54" s="39" t="s">
        <v>487</v>
      </c>
      <c r="D54" s="11"/>
      <c r="E54" s="11"/>
      <c r="F54" s="11"/>
      <c r="G54" s="29">
        <v>1</v>
      </c>
      <c r="H54" s="11">
        <f t="shared" si="0"/>
        <v>1</v>
      </c>
      <c r="J54" s="6" t="s">
        <v>52</v>
      </c>
      <c r="K54">
        <f t="shared" si="1"/>
        <v>0</v>
      </c>
      <c r="L54">
        <f t="shared" si="2"/>
        <v>0</v>
      </c>
    </row>
    <row r="55" spans="1:12" x14ac:dyDescent="0.3">
      <c r="A55" s="86"/>
      <c r="B55" s="40" t="s">
        <v>16</v>
      </c>
      <c r="C55" s="39" t="s">
        <v>489</v>
      </c>
      <c r="D55" s="11"/>
      <c r="E55" s="11"/>
      <c r="F55" s="11"/>
      <c r="G55" s="29">
        <v>1</v>
      </c>
      <c r="H55" s="11">
        <f t="shared" si="0"/>
        <v>1</v>
      </c>
      <c r="J55" s="8" t="s">
        <v>53</v>
      </c>
      <c r="K55">
        <f t="shared" si="1"/>
        <v>1</v>
      </c>
      <c r="L55">
        <f t="shared" si="2"/>
        <v>1</v>
      </c>
    </row>
    <row r="56" spans="1:12" x14ac:dyDescent="0.3">
      <c r="A56" s="80" t="s">
        <v>17</v>
      </c>
      <c r="B56" s="46" t="s">
        <v>17</v>
      </c>
      <c r="C56" s="11" t="s">
        <v>431</v>
      </c>
      <c r="D56" s="11"/>
      <c r="E56" s="11">
        <v>1</v>
      </c>
      <c r="F56" s="11"/>
      <c r="G56" s="29"/>
      <c r="H56" s="11">
        <f t="shared" si="0"/>
        <v>1</v>
      </c>
      <c r="J56" s="6" t="s">
        <v>54</v>
      </c>
      <c r="K56">
        <f t="shared" si="1"/>
        <v>3</v>
      </c>
      <c r="L56">
        <f t="shared" si="2"/>
        <v>3</v>
      </c>
    </row>
    <row r="57" spans="1:12" x14ac:dyDescent="0.3">
      <c r="A57" s="81"/>
      <c r="B57" s="46" t="s">
        <v>17</v>
      </c>
      <c r="C57" s="11" t="s">
        <v>458</v>
      </c>
      <c r="D57" s="11"/>
      <c r="E57" s="11"/>
      <c r="F57" s="11">
        <v>1</v>
      </c>
      <c r="G57" s="29"/>
      <c r="H57" s="11">
        <f t="shared" si="0"/>
        <v>1</v>
      </c>
      <c r="J57" s="6" t="s">
        <v>55</v>
      </c>
      <c r="K57">
        <f t="shared" si="1"/>
        <v>4</v>
      </c>
      <c r="L57">
        <f t="shared" si="2"/>
        <v>3</v>
      </c>
    </row>
    <row r="58" spans="1:12" x14ac:dyDescent="0.3">
      <c r="A58" s="83" t="s">
        <v>18</v>
      </c>
      <c r="B58" s="44" t="s">
        <v>18</v>
      </c>
      <c r="C58" s="11" t="s">
        <v>463</v>
      </c>
      <c r="D58" s="11"/>
      <c r="E58" s="11"/>
      <c r="F58" s="11">
        <v>1</v>
      </c>
      <c r="G58" s="29"/>
      <c r="H58" s="11">
        <f t="shared" si="0"/>
        <v>1</v>
      </c>
      <c r="J58" s="8" t="s">
        <v>56</v>
      </c>
      <c r="K58">
        <f t="shared" si="1"/>
        <v>1</v>
      </c>
      <c r="L58">
        <f t="shared" si="2"/>
        <v>1</v>
      </c>
    </row>
    <row r="59" spans="1:12" x14ac:dyDescent="0.3">
      <c r="A59" s="91"/>
      <c r="B59" s="44" t="s">
        <v>18</v>
      </c>
      <c r="C59" s="11" t="s">
        <v>469</v>
      </c>
      <c r="D59" s="11"/>
      <c r="E59" s="11"/>
      <c r="F59" s="11"/>
      <c r="G59" s="29"/>
      <c r="H59" s="11">
        <f t="shared" si="0"/>
        <v>0</v>
      </c>
      <c r="J59" s="8" t="s">
        <v>57</v>
      </c>
      <c r="K59">
        <f t="shared" si="1"/>
        <v>0</v>
      </c>
      <c r="L59">
        <f t="shared" si="2"/>
        <v>0</v>
      </c>
    </row>
    <row r="60" spans="1:12" x14ac:dyDescent="0.3">
      <c r="A60" s="84"/>
      <c r="B60" s="44" t="s">
        <v>18</v>
      </c>
      <c r="C60" s="11" t="s">
        <v>493</v>
      </c>
      <c r="D60" s="11"/>
      <c r="E60" s="11"/>
      <c r="F60" s="11"/>
      <c r="G60" s="29">
        <v>1</v>
      </c>
      <c r="H60" s="11">
        <f t="shared" si="0"/>
        <v>1</v>
      </c>
      <c r="J60" s="8" t="s">
        <v>58</v>
      </c>
      <c r="K60">
        <f t="shared" si="1"/>
        <v>0</v>
      </c>
      <c r="L60">
        <f t="shared" si="2"/>
        <v>0</v>
      </c>
    </row>
    <row r="61" spans="1:12" x14ac:dyDescent="0.3">
      <c r="A61" s="38" t="s">
        <v>19</v>
      </c>
      <c r="B61" s="38"/>
      <c r="C61" s="11"/>
      <c r="D61" s="11"/>
      <c r="E61" s="11"/>
      <c r="F61" s="11"/>
      <c r="G61" s="29"/>
      <c r="H61" s="11">
        <f t="shared" si="0"/>
        <v>0</v>
      </c>
      <c r="J61" s="8" t="s">
        <v>59</v>
      </c>
      <c r="K61">
        <f t="shared" si="1"/>
        <v>5</v>
      </c>
      <c r="L61">
        <f t="shared" si="2"/>
        <v>2</v>
      </c>
    </row>
    <row r="62" spans="1:12" x14ac:dyDescent="0.3">
      <c r="A62" s="83" t="s">
        <v>20</v>
      </c>
      <c r="B62" s="44" t="s">
        <v>20</v>
      </c>
      <c r="C62" s="11" t="s">
        <v>444</v>
      </c>
      <c r="D62" s="11"/>
      <c r="E62" s="11">
        <v>1</v>
      </c>
      <c r="F62" s="11"/>
      <c r="G62" s="29"/>
      <c r="H62" s="11">
        <f t="shared" si="0"/>
        <v>1</v>
      </c>
    </row>
    <row r="63" spans="1:12" x14ac:dyDescent="0.3">
      <c r="A63" s="84"/>
      <c r="B63" s="44" t="s">
        <v>20</v>
      </c>
      <c r="C63" s="11" t="s">
        <v>450</v>
      </c>
      <c r="D63" s="11"/>
      <c r="E63" s="11"/>
      <c r="F63" s="11">
        <v>1</v>
      </c>
      <c r="G63" s="29">
        <v>1</v>
      </c>
      <c r="H63" s="11">
        <f t="shared" si="0"/>
        <v>2</v>
      </c>
    </row>
    <row r="64" spans="1:12" x14ac:dyDescent="0.3">
      <c r="A64" s="39" t="s">
        <v>21</v>
      </c>
      <c r="B64" s="39" t="s">
        <v>21</v>
      </c>
      <c r="C64" s="11" t="s">
        <v>460</v>
      </c>
      <c r="D64" s="11"/>
      <c r="E64" s="11"/>
      <c r="F64" s="11">
        <v>1</v>
      </c>
      <c r="G64" s="29"/>
      <c r="H64" s="11">
        <f t="shared" si="0"/>
        <v>1</v>
      </c>
    </row>
    <row r="65" spans="1:8" x14ac:dyDescent="0.3">
      <c r="A65" s="39" t="s">
        <v>22</v>
      </c>
      <c r="B65" s="39"/>
      <c r="C65" s="11"/>
      <c r="D65" s="11"/>
      <c r="E65" s="11"/>
      <c r="F65" s="11"/>
      <c r="G65" s="29"/>
      <c r="H65" s="11">
        <f t="shared" si="0"/>
        <v>0</v>
      </c>
    </row>
    <row r="66" spans="1:8" x14ac:dyDescent="0.3">
      <c r="A66" s="39" t="s">
        <v>23</v>
      </c>
      <c r="B66" s="39"/>
      <c r="C66" s="11"/>
      <c r="D66" s="11"/>
      <c r="E66" s="11"/>
      <c r="F66" s="11"/>
      <c r="G66" s="29"/>
      <c r="H66" s="11">
        <f t="shared" si="0"/>
        <v>0</v>
      </c>
    </row>
    <row r="67" spans="1:8" x14ac:dyDescent="0.3">
      <c r="A67" s="39" t="s">
        <v>24</v>
      </c>
      <c r="B67" s="39"/>
      <c r="C67" s="11"/>
      <c r="D67" s="11"/>
      <c r="E67" s="11"/>
      <c r="F67" s="11"/>
      <c r="G67" s="29"/>
      <c r="H67" s="11">
        <f t="shared" ref="H67:H121" si="3">SUM(D67:G67)</f>
        <v>0</v>
      </c>
    </row>
    <row r="68" spans="1:8" x14ac:dyDescent="0.3">
      <c r="A68" s="38" t="s">
        <v>25</v>
      </c>
      <c r="B68" s="38"/>
      <c r="C68" s="11"/>
      <c r="D68" s="11"/>
      <c r="E68" s="11"/>
      <c r="F68" s="11"/>
      <c r="G68" s="29"/>
      <c r="H68" s="11">
        <f t="shared" si="3"/>
        <v>0</v>
      </c>
    </row>
    <row r="69" spans="1:8" x14ac:dyDescent="0.3">
      <c r="A69" s="83" t="s">
        <v>26</v>
      </c>
      <c r="B69" s="44" t="s">
        <v>26</v>
      </c>
      <c r="C69" s="11" t="s">
        <v>412</v>
      </c>
      <c r="D69" s="11">
        <v>1</v>
      </c>
      <c r="E69" s="11"/>
      <c r="F69" s="11"/>
      <c r="G69" s="29"/>
      <c r="H69" s="11">
        <f t="shared" si="3"/>
        <v>1</v>
      </c>
    </row>
    <row r="70" spans="1:8" x14ac:dyDescent="0.3">
      <c r="A70" s="91"/>
      <c r="B70" s="44" t="s">
        <v>26</v>
      </c>
      <c r="C70" s="11" t="s">
        <v>298</v>
      </c>
      <c r="D70" s="11"/>
      <c r="E70" s="11">
        <v>1</v>
      </c>
      <c r="F70" s="11"/>
      <c r="G70" s="29"/>
      <c r="H70" s="11">
        <f t="shared" si="3"/>
        <v>1</v>
      </c>
    </row>
    <row r="71" spans="1:8" x14ac:dyDescent="0.3">
      <c r="A71" s="91"/>
      <c r="B71" s="44" t="s">
        <v>26</v>
      </c>
      <c r="C71" s="11" t="s">
        <v>440</v>
      </c>
      <c r="D71" s="11"/>
      <c r="E71" s="11">
        <v>1</v>
      </c>
      <c r="F71" s="11"/>
      <c r="G71" s="29"/>
      <c r="H71" s="11">
        <f t="shared" si="3"/>
        <v>1</v>
      </c>
    </row>
    <row r="72" spans="1:8" x14ac:dyDescent="0.3">
      <c r="A72" s="84"/>
      <c r="B72" s="44" t="s">
        <v>26</v>
      </c>
      <c r="C72" s="11" t="s">
        <v>465</v>
      </c>
      <c r="D72" s="11"/>
      <c r="E72" s="11"/>
      <c r="F72" s="11">
        <v>1</v>
      </c>
      <c r="G72" s="29"/>
      <c r="H72" s="11">
        <f t="shared" si="3"/>
        <v>1</v>
      </c>
    </row>
    <row r="73" spans="1:8" x14ac:dyDescent="0.3">
      <c r="A73" s="39" t="s">
        <v>27</v>
      </c>
      <c r="B73" s="39"/>
      <c r="C73" s="11"/>
      <c r="D73" s="11"/>
      <c r="E73" s="11"/>
      <c r="F73" s="11"/>
      <c r="G73" s="29"/>
      <c r="H73" s="11">
        <f t="shared" si="3"/>
        <v>0</v>
      </c>
    </row>
    <row r="74" spans="1:8" x14ac:dyDescent="0.3">
      <c r="A74" s="39" t="s">
        <v>28</v>
      </c>
      <c r="B74" s="39"/>
      <c r="C74" s="11"/>
      <c r="D74" s="11"/>
      <c r="E74" s="11"/>
      <c r="F74" s="11"/>
      <c r="G74" s="29"/>
      <c r="H74" s="11">
        <f t="shared" si="3"/>
        <v>0</v>
      </c>
    </row>
    <row r="75" spans="1:8" x14ac:dyDescent="0.3">
      <c r="A75" s="38" t="s">
        <v>29</v>
      </c>
      <c r="B75" s="38"/>
      <c r="C75" s="11"/>
      <c r="D75" s="11"/>
      <c r="E75" s="11"/>
      <c r="F75" s="11"/>
      <c r="G75" s="29"/>
      <c r="H75" s="11">
        <f t="shared" si="3"/>
        <v>0</v>
      </c>
    </row>
    <row r="76" spans="1:8" x14ac:dyDescent="0.3">
      <c r="A76" s="80" t="s">
        <v>30</v>
      </c>
      <c r="B76" s="46" t="s">
        <v>30</v>
      </c>
      <c r="C76" s="11" t="s">
        <v>402</v>
      </c>
      <c r="D76" s="11">
        <v>1</v>
      </c>
      <c r="E76" s="11"/>
      <c r="F76" s="11"/>
      <c r="G76" s="29">
        <v>1</v>
      </c>
      <c r="H76" s="11">
        <f t="shared" si="3"/>
        <v>2</v>
      </c>
    </row>
    <row r="77" spans="1:8" x14ac:dyDescent="0.3">
      <c r="A77" s="82"/>
      <c r="B77" s="46" t="s">
        <v>30</v>
      </c>
      <c r="C77" s="11" t="s">
        <v>430</v>
      </c>
      <c r="D77" s="11"/>
      <c r="E77" s="11">
        <v>1</v>
      </c>
      <c r="F77" s="11"/>
      <c r="G77" s="29">
        <v>1</v>
      </c>
      <c r="H77" s="11">
        <f t="shared" si="3"/>
        <v>2</v>
      </c>
    </row>
    <row r="78" spans="1:8" x14ac:dyDescent="0.3">
      <c r="A78" s="39" t="s">
        <v>31</v>
      </c>
      <c r="B78" s="39"/>
      <c r="C78" s="11"/>
      <c r="D78" s="11"/>
      <c r="E78" s="11"/>
      <c r="F78" s="11"/>
      <c r="G78" s="29"/>
      <c r="H78" s="11">
        <f t="shared" si="3"/>
        <v>0</v>
      </c>
    </row>
    <row r="79" spans="1:8" x14ac:dyDescent="0.3">
      <c r="A79" s="83" t="s">
        <v>32</v>
      </c>
      <c r="B79" s="44" t="s">
        <v>32</v>
      </c>
      <c r="C79" s="11" t="s">
        <v>419</v>
      </c>
      <c r="D79" s="11"/>
      <c r="E79" s="11">
        <v>1</v>
      </c>
      <c r="F79" s="11"/>
      <c r="G79" s="29"/>
      <c r="H79" s="11">
        <f t="shared" si="3"/>
        <v>1</v>
      </c>
    </row>
    <row r="80" spans="1:8" x14ac:dyDescent="0.3">
      <c r="A80" s="91"/>
      <c r="B80" s="44" t="s">
        <v>32</v>
      </c>
      <c r="C80" s="11" t="s">
        <v>438</v>
      </c>
      <c r="D80" s="11"/>
      <c r="E80" s="11">
        <v>1</v>
      </c>
      <c r="F80" s="11"/>
      <c r="G80" s="29"/>
      <c r="H80" s="11">
        <f t="shared" si="3"/>
        <v>1</v>
      </c>
    </row>
    <row r="81" spans="1:8" x14ac:dyDescent="0.3">
      <c r="A81" s="91"/>
      <c r="B81" s="44" t="s">
        <v>32</v>
      </c>
      <c r="C81" s="11" t="s">
        <v>474</v>
      </c>
      <c r="D81" s="11">
        <v>1</v>
      </c>
      <c r="E81" s="11"/>
      <c r="F81" s="11"/>
      <c r="G81" s="29">
        <v>1</v>
      </c>
      <c r="H81" s="11">
        <f t="shared" si="3"/>
        <v>2</v>
      </c>
    </row>
    <row r="82" spans="1:8" x14ac:dyDescent="0.3">
      <c r="A82" s="83" t="s">
        <v>33</v>
      </c>
      <c r="B82" s="44" t="s">
        <v>33</v>
      </c>
      <c r="C82" s="11" t="s">
        <v>419</v>
      </c>
      <c r="D82" s="11"/>
      <c r="E82" s="11">
        <v>1</v>
      </c>
      <c r="F82" s="11"/>
      <c r="G82" s="29"/>
      <c r="H82" s="11">
        <f t="shared" si="3"/>
        <v>1</v>
      </c>
    </row>
    <row r="83" spans="1:8" x14ac:dyDescent="0.3">
      <c r="A83" s="84"/>
      <c r="B83" s="44" t="s">
        <v>33</v>
      </c>
      <c r="C83" s="11" t="s">
        <v>447</v>
      </c>
      <c r="D83" s="11"/>
      <c r="E83" s="11">
        <v>1</v>
      </c>
      <c r="F83" s="11"/>
      <c r="G83" s="29"/>
      <c r="H83" s="11">
        <f t="shared" si="3"/>
        <v>1</v>
      </c>
    </row>
    <row r="84" spans="1:8" x14ac:dyDescent="0.3">
      <c r="A84" s="38" t="s">
        <v>34</v>
      </c>
      <c r="B84" s="38" t="s">
        <v>34</v>
      </c>
      <c r="C84" s="11" t="s">
        <v>471</v>
      </c>
      <c r="D84" s="11"/>
      <c r="E84" s="11"/>
      <c r="F84" s="11">
        <v>1</v>
      </c>
      <c r="G84" s="29"/>
      <c r="H84" s="11">
        <f t="shared" si="3"/>
        <v>1</v>
      </c>
    </row>
    <row r="85" spans="1:8" x14ac:dyDescent="0.3">
      <c r="A85" s="86" t="s">
        <v>35</v>
      </c>
      <c r="B85" s="40" t="s">
        <v>35</v>
      </c>
      <c r="C85" s="11" t="s">
        <v>406</v>
      </c>
      <c r="D85" s="11">
        <v>1</v>
      </c>
      <c r="E85" s="11"/>
      <c r="F85" s="11">
        <v>1</v>
      </c>
      <c r="G85" s="29"/>
      <c r="H85" s="11">
        <f t="shared" si="3"/>
        <v>2</v>
      </c>
    </row>
    <row r="86" spans="1:8" x14ac:dyDescent="0.3">
      <c r="A86" s="86"/>
      <c r="B86" s="40" t="s">
        <v>35</v>
      </c>
      <c r="C86" s="11" t="s">
        <v>418</v>
      </c>
      <c r="D86" s="11">
        <v>1</v>
      </c>
      <c r="E86" s="11"/>
      <c r="F86" s="11"/>
      <c r="G86" s="29">
        <v>1</v>
      </c>
      <c r="H86" s="11">
        <f t="shared" si="3"/>
        <v>2</v>
      </c>
    </row>
    <row r="87" spans="1:8" x14ac:dyDescent="0.3">
      <c r="A87" s="80" t="s">
        <v>36</v>
      </c>
      <c r="B87" s="46" t="s">
        <v>36</v>
      </c>
      <c r="C87" s="11" t="s">
        <v>425</v>
      </c>
      <c r="D87" s="11"/>
      <c r="E87" s="11">
        <v>1</v>
      </c>
      <c r="F87" s="11"/>
      <c r="G87" s="29"/>
      <c r="H87" s="11">
        <f t="shared" si="3"/>
        <v>1</v>
      </c>
    </row>
    <row r="88" spans="1:8" x14ac:dyDescent="0.3">
      <c r="A88" s="81"/>
      <c r="B88" s="46" t="s">
        <v>36</v>
      </c>
      <c r="C88" s="11" t="s">
        <v>461</v>
      </c>
      <c r="D88" s="11"/>
      <c r="E88" s="11"/>
      <c r="F88" s="11">
        <v>1</v>
      </c>
      <c r="G88" s="29"/>
      <c r="H88" s="11">
        <f t="shared" si="3"/>
        <v>1</v>
      </c>
    </row>
    <row r="89" spans="1:8" x14ac:dyDescent="0.3">
      <c r="A89" s="82"/>
      <c r="B89" s="46" t="s">
        <v>36</v>
      </c>
      <c r="C89" s="11" t="s">
        <v>481</v>
      </c>
      <c r="D89" s="11"/>
      <c r="E89" s="11"/>
      <c r="F89" s="11"/>
      <c r="G89" s="29">
        <v>1</v>
      </c>
      <c r="H89" s="11">
        <f t="shared" si="3"/>
        <v>1</v>
      </c>
    </row>
    <row r="90" spans="1:8" x14ac:dyDescent="0.3">
      <c r="A90" s="38" t="s">
        <v>37</v>
      </c>
      <c r="B90" s="38" t="s">
        <v>37</v>
      </c>
      <c r="C90" s="11" t="s">
        <v>441</v>
      </c>
      <c r="D90" s="11"/>
      <c r="E90" s="11">
        <v>1</v>
      </c>
      <c r="F90" s="11"/>
      <c r="G90" s="29"/>
      <c r="H90" s="11">
        <f t="shared" si="3"/>
        <v>1</v>
      </c>
    </row>
    <row r="91" spans="1:8" x14ac:dyDescent="0.3">
      <c r="A91" s="39" t="s">
        <v>38</v>
      </c>
      <c r="B91" s="39"/>
      <c r="C91" s="11"/>
      <c r="D91" s="11"/>
      <c r="E91" s="11"/>
      <c r="F91" s="11"/>
      <c r="G91" s="29"/>
      <c r="H91" s="11">
        <f t="shared" si="3"/>
        <v>0</v>
      </c>
    </row>
    <row r="92" spans="1:8" x14ac:dyDescent="0.3">
      <c r="A92" s="86" t="s">
        <v>39</v>
      </c>
      <c r="B92" s="40" t="s">
        <v>39</v>
      </c>
      <c r="C92" s="11" t="s">
        <v>403</v>
      </c>
      <c r="D92" s="11">
        <v>1</v>
      </c>
      <c r="E92" s="11">
        <v>1</v>
      </c>
      <c r="F92" s="11"/>
      <c r="G92" s="29">
        <v>1</v>
      </c>
      <c r="H92" s="11">
        <f t="shared" si="3"/>
        <v>3</v>
      </c>
    </row>
    <row r="93" spans="1:8" x14ac:dyDescent="0.3">
      <c r="A93" s="86"/>
      <c r="B93" s="40" t="s">
        <v>39</v>
      </c>
      <c r="C93" s="11" t="s">
        <v>421</v>
      </c>
      <c r="D93" s="11"/>
      <c r="E93" s="11">
        <v>1</v>
      </c>
      <c r="F93" s="11"/>
      <c r="G93" s="29"/>
      <c r="H93" s="11">
        <f t="shared" si="3"/>
        <v>1</v>
      </c>
    </row>
    <row r="94" spans="1:8" x14ac:dyDescent="0.3">
      <c r="A94" s="38" t="s">
        <v>40</v>
      </c>
      <c r="B94" s="38" t="s">
        <v>40</v>
      </c>
      <c r="C94" s="11" t="s">
        <v>424</v>
      </c>
      <c r="D94" s="11"/>
      <c r="E94" s="11">
        <v>1</v>
      </c>
      <c r="F94" s="11"/>
      <c r="G94" s="29"/>
      <c r="H94" s="11">
        <f t="shared" si="3"/>
        <v>1</v>
      </c>
    </row>
    <row r="95" spans="1:8" x14ac:dyDescent="0.3">
      <c r="A95" s="41" t="s">
        <v>41</v>
      </c>
      <c r="B95" s="41"/>
      <c r="C95" s="11"/>
      <c r="D95" s="11"/>
      <c r="E95" s="11"/>
      <c r="F95" s="11"/>
      <c r="G95" s="29"/>
      <c r="H95" s="11">
        <f t="shared" si="3"/>
        <v>0</v>
      </c>
    </row>
    <row r="96" spans="1:8" x14ac:dyDescent="0.3">
      <c r="A96" s="38" t="s">
        <v>42</v>
      </c>
      <c r="B96" s="38"/>
      <c r="C96" s="11"/>
      <c r="D96" s="11"/>
      <c r="E96" s="11"/>
      <c r="F96" s="11"/>
      <c r="G96" s="29"/>
      <c r="H96" s="11">
        <f t="shared" si="3"/>
        <v>0</v>
      </c>
    </row>
    <row r="97" spans="1:8" x14ac:dyDescent="0.3">
      <c r="A97" s="38" t="s">
        <v>43</v>
      </c>
      <c r="B97" s="38" t="s">
        <v>43</v>
      </c>
      <c r="C97" s="11" t="s">
        <v>472</v>
      </c>
      <c r="D97" s="11"/>
      <c r="E97" s="11"/>
      <c r="F97" s="11">
        <v>1</v>
      </c>
      <c r="G97" s="29"/>
      <c r="H97" s="11">
        <f t="shared" si="3"/>
        <v>1</v>
      </c>
    </row>
    <row r="98" spans="1:8" x14ac:dyDescent="0.3">
      <c r="A98" s="86" t="s">
        <v>44</v>
      </c>
      <c r="B98" s="40" t="s">
        <v>44</v>
      </c>
      <c r="C98" s="11" t="s">
        <v>415</v>
      </c>
      <c r="D98" s="11">
        <v>1</v>
      </c>
      <c r="E98" s="11">
        <v>1</v>
      </c>
      <c r="F98" s="11">
        <v>1</v>
      </c>
      <c r="G98" s="29">
        <v>1</v>
      </c>
      <c r="H98" s="11">
        <f t="shared" si="3"/>
        <v>4</v>
      </c>
    </row>
    <row r="99" spans="1:8" x14ac:dyDescent="0.3">
      <c r="A99" s="86"/>
      <c r="B99" s="40" t="s">
        <v>44</v>
      </c>
      <c r="C99" s="11" t="s">
        <v>435</v>
      </c>
      <c r="D99" s="11"/>
      <c r="E99" s="11">
        <v>1</v>
      </c>
      <c r="F99" s="11"/>
      <c r="G99" s="29"/>
      <c r="H99" s="11">
        <f t="shared" si="3"/>
        <v>1</v>
      </c>
    </row>
    <row r="100" spans="1:8" x14ac:dyDescent="0.3">
      <c r="A100" s="38" t="s">
        <v>45</v>
      </c>
      <c r="B100" s="38"/>
      <c r="C100" s="11"/>
      <c r="D100" s="11"/>
      <c r="E100" s="11"/>
      <c r="F100" s="11"/>
      <c r="G100" s="29"/>
      <c r="H100" s="11">
        <f t="shared" si="3"/>
        <v>0</v>
      </c>
    </row>
    <row r="101" spans="1:8" x14ac:dyDescent="0.3">
      <c r="A101" s="39" t="s">
        <v>46</v>
      </c>
      <c r="B101" s="39"/>
      <c r="C101" s="11"/>
      <c r="D101" s="11"/>
      <c r="E101" s="11"/>
      <c r="F101" s="11"/>
      <c r="G101" s="29"/>
      <c r="H101" s="11">
        <f t="shared" si="3"/>
        <v>0</v>
      </c>
    </row>
    <row r="102" spans="1:8" x14ac:dyDescent="0.3">
      <c r="A102" s="80" t="s">
        <v>47</v>
      </c>
      <c r="B102" s="46" t="s">
        <v>47</v>
      </c>
      <c r="C102" s="11" t="s">
        <v>428</v>
      </c>
      <c r="D102" s="11"/>
      <c r="E102" s="11">
        <v>1</v>
      </c>
      <c r="F102" s="11"/>
      <c r="G102" s="29"/>
      <c r="H102" s="11">
        <f t="shared" si="3"/>
        <v>1</v>
      </c>
    </row>
    <row r="103" spans="1:8" x14ac:dyDescent="0.3">
      <c r="A103" s="82"/>
      <c r="B103" s="46" t="s">
        <v>47</v>
      </c>
      <c r="C103" s="11" t="s">
        <v>459</v>
      </c>
      <c r="D103" s="11"/>
      <c r="E103" s="11"/>
      <c r="F103" s="11">
        <v>1</v>
      </c>
      <c r="G103" s="29"/>
      <c r="H103" s="11">
        <f t="shared" si="3"/>
        <v>1</v>
      </c>
    </row>
    <row r="104" spans="1:8" x14ac:dyDescent="0.3">
      <c r="A104" s="39" t="s">
        <v>48</v>
      </c>
      <c r="B104" s="39"/>
      <c r="C104" s="11"/>
      <c r="D104" s="11"/>
      <c r="E104" s="11"/>
      <c r="F104" s="11"/>
      <c r="G104" s="29"/>
      <c r="H104" s="11">
        <f t="shared" si="3"/>
        <v>0</v>
      </c>
    </row>
    <row r="105" spans="1:8" x14ac:dyDescent="0.3">
      <c r="A105" s="39" t="s">
        <v>49</v>
      </c>
      <c r="B105" s="39" t="s">
        <v>49</v>
      </c>
      <c r="C105" s="11" t="s">
        <v>468</v>
      </c>
      <c r="D105" s="11"/>
      <c r="E105" s="11"/>
      <c r="F105" s="11">
        <v>1</v>
      </c>
      <c r="G105" s="29"/>
      <c r="H105" s="11">
        <f t="shared" si="3"/>
        <v>1</v>
      </c>
    </row>
    <row r="106" spans="1:8" x14ac:dyDescent="0.3">
      <c r="A106" s="39" t="s">
        <v>50</v>
      </c>
      <c r="B106" s="39"/>
      <c r="C106" s="11"/>
      <c r="D106" s="11"/>
      <c r="E106" s="11"/>
      <c r="F106" s="11"/>
      <c r="G106" s="29"/>
      <c r="H106" s="11">
        <f t="shared" si="3"/>
        <v>0</v>
      </c>
    </row>
    <row r="107" spans="1:8" x14ac:dyDescent="0.3">
      <c r="A107" s="83" t="s">
        <v>51</v>
      </c>
      <c r="B107" s="44" t="s">
        <v>51</v>
      </c>
      <c r="C107" s="11" t="s">
        <v>446</v>
      </c>
      <c r="D107" s="11"/>
      <c r="E107" s="11">
        <v>1</v>
      </c>
      <c r="F107" s="11"/>
      <c r="G107" s="29"/>
      <c r="H107" s="11">
        <f t="shared" si="3"/>
        <v>1</v>
      </c>
    </row>
    <row r="108" spans="1:8" x14ac:dyDescent="0.3">
      <c r="A108" s="84"/>
      <c r="B108" s="44" t="s">
        <v>51</v>
      </c>
      <c r="C108" s="11" t="s">
        <v>476</v>
      </c>
      <c r="D108" s="11"/>
      <c r="E108" s="11"/>
      <c r="F108" s="11"/>
      <c r="G108" s="29">
        <v>1</v>
      </c>
      <c r="H108" s="11">
        <f t="shared" si="3"/>
        <v>1</v>
      </c>
    </row>
    <row r="109" spans="1:8" x14ac:dyDescent="0.3">
      <c r="A109" s="38" t="s">
        <v>52</v>
      </c>
      <c r="B109" s="38"/>
      <c r="C109" s="11"/>
      <c r="D109" s="11"/>
      <c r="E109" s="11"/>
      <c r="F109" s="11"/>
      <c r="G109" s="29"/>
      <c r="H109" s="11">
        <f t="shared" si="3"/>
        <v>0</v>
      </c>
    </row>
    <row r="110" spans="1:8" x14ac:dyDescent="0.3">
      <c r="A110" s="39" t="s">
        <v>53</v>
      </c>
      <c r="B110" s="39" t="s">
        <v>53</v>
      </c>
      <c r="C110" s="11" t="s">
        <v>433</v>
      </c>
      <c r="D110" s="11"/>
      <c r="E110" s="11">
        <v>1</v>
      </c>
      <c r="F110" s="11"/>
      <c r="G110" s="29"/>
      <c r="H110" s="11">
        <f t="shared" si="3"/>
        <v>1</v>
      </c>
    </row>
    <row r="111" spans="1:8" x14ac:dyDescent="0.3">
      <c r="A111" s="90" t="s">
        <v>54</v>
      </c>
      <c r="B111" s="42" t="s">
        <v>54</v>
      </c>
      <c r="C111" s="11" t="s">
        <v>419</v>
      </c>
      <c r="D111" s="11"/>
      <c r="E111" s="11">
        <v>1</v>
      </c>
      <c r="F111" s="11"/>
      <c r="G111" s="29"/>
      <c r="H111" s="11">
        <f t="shared" si="3"/>
        <v>1</v>
      </c>
    </row>
    <row r="112" spans="1:8" x14ac:dyDescent="0.3">
      <c r="A112" s="90"/>
      <c r="B112" s="42" t="s">
        <v>54</v>
      </c>
      <c r="C112" s="11" t="s">
        <v>437</v>
      </c>
      <c r="D112" s="11"/>
      <c r="E112" s="11">
        <v>1</v>
      </c>
      <c r="F112" s="11"/>
      <c r="G112" s="29"/>
      <c r="H112" s="11">
        <f t="shared" si="3"/>
        <v>1</v>
      </c>
    </row>
    <row r="113" spans="1:8" x14ac:dyDescent="0.3">
      <c r="A113" s="90"/>
      <c r="B113" s="42" t="s">
        <v>54</v>
      </c>
      <c r="C113" s="11" t="s">
        <v>456</v>
      </c>
      <c r="D113" s="11"/>
      <c r="E113" s="11"/>
      <c r="F113" s="11">
        <v>1</v>
      </c>
      <c r="G113" s="29"/>
      <c r="H113" s="11">
        <f t="shared" si="3"/>
        <v>1</v>
      </c>
    </row>
    <row r="114" spans="1:8" x14ac:dyDescent="0.3">
      <c r="A114" s="83" t="s">
        <v>55</v>
      </c>
      <c r="B114" s="44" t="s">
        <v>55</v>
      </c>
      <c r="C114" s="11" t="s">
        <v>413</v>
      </c>
      <c r="D114" s="11">
        <v>1</v>
      </c>
      <c r="E114" s="11">
        <v>1</v>
      </c>
      <c r="F114" s="11"/>
      <c r="G114" s="29"/>
      <c r="H114" s="11">
        <f t="shared" si="3"/>
        <v>2</v>
      </c>
    </row>
    <row r="115" spans="1:8" x14ac:dyDescent="0.3">
      <c r="A115" s="91"/>
      <c r="B115" s="44" t="s">
        <v>55</v>
      </c>
      <c r="C115" s="11" t="s">
        <v>439</v>
      </c>
      <c r="D115" s="11"/>
      <c r="E115" s="11">
        <v>1</v>
      </c>
      <c r="F115" s="11"/>
      <c r="G115" s="29"/>
      <c r="H115" s="11">
        <f t="shared" si="3"/>
        <v>1</v>
      </c>
    </row>
    <row r="116" spans="1:8" x14ac:dyDescent="0.3">
      <c r="A116" s="84"/>
      <c r="B116" s="44" t="s">
        <v>55</v>
      </c>
      <c r="C116" s="11" t="s">
        <v>479</v>
      </c>
      <c r="D116" s="11"/>
      <c r="E116" s="11"/>
      <c r="F116" s="11"/>
      <c r="G116" s="29">
        <v>1</v>
      </c>
      <c r="H116" s="11">
        <f t="shared" si="3"/>
        <v>1</v>
      </c>
    </row>
    <row r="117" spans="1:8" x14ac:dyDescent="0.3">
      <c r="A117" s="39" t="s">
        <v>56</v>
      </c>
      <c r="B117" s="39" t="s">
        <v>56</v>
      </c>
      <c r="C117" s="11" t="s">
        <v>491</v>
      </c>
      <c r="D117" s="11"/>
      <c r="E117" s="11"/>
      <c r="F117" s="11"/>
      <c r="G117" s="29">
        <v>1</v>
      </c>
      <c r="H117" s="11">
        <f t="shared" si="3"/>
        <v>1</v>
      </c>
    </row>
    <row r="118" spans="1:8" x14ac:dyDescent="0.3">
      <c r="A118" s="39" t="s">
        <v>57</v>
      </c>
      <c r="B118" s="39"/>
      <c r="C118" s="11"/>
      <c r="D118" s="11"/>
      <c r="E118" s="11"/>
      <c r="F118" s="11"/>
      <c r="G118" s="29"/>
      <c r="H118" s="11">
        <f t="shared" si="3"/>
        <v>0</v>
      </c>
    </row>
    <row r="119" spans="1:8" x14ac:dyDescent="0.3">
      <c r="A119" s="39" t="s">
        <v>58</v>
      </c>
      <c r="B119" s="39"/>
      <c r="C119" s="11"/>
      <c r="D119" s="11"/>
      <c r="E119" s="11"/>
      <c r="F119" s="11"/>
      <c r="G119" s="29"/>
      <c r="H119" s="11">
        <f t="shared" si="3"/>
        <v>0</v>
      </c>
    </row>
    <row r="120" spans="1:8" x14ac:dyDescent="0.3">
      <c r="A120" s="86" t="s">
        <v>59</v>
      </c>
      <c r="B120" s="40" t="s">
        <v>59</v>
      </c>
      <c r="C120" s="11" t="s">
        <v>410</v>
      </c>
      <c r="D120" s="11">
        <v>1</v>
      </c>
      <c r="E120" s="11">
        <v>1</v>
      </c>
      <c r="F120" s="11">
        <v>1</v>
      </c>
      <c r="G120" s="29">
        <v>1</v>
      </c>
      <c r="H120" s="11">
        <f t="shared" si="3"/>
        <v>4</v>
      </c>
    </row>
    <row r="121" spans="1:8" x14ac:dyDescent="0.3">
      <c r="A121" s="86"/>
      <c r="B121" s="40" t="s">
        <v>59</v>
      </c>
      <c r="C121" s="11" t="s">
        <v>426</v>
      </c>
      <c r="D121" s="11"/>
      <c r="E121" s="11">
        <v>1</v>
      </c>
      <c r="F121" s="11"/>
      <c r="G121" s="29"/>
      <c r="H121" s="11">
        <f t="shared" si="3"/>
        <v>1</v>
      </c>
    </row>
    <row r="122" spans="1:8" x14ac:dyDescent="0.3">
      <c r="H122"/>
    </row>
    <row r="123" spans="1:8" x14ac:dyDescent="0.3">
      <c r="H123"/>
    </row>
    <row r="124" spans="1:8" x14ac:dyDescent="0.3">
      <c r="H124"/>
    </row>
    <row r="125" spans="1:8" x14ac:dyDescent="0.3">
      <c r="H125"/>
    </row>
    <row r="126" spans="1:8" x14ac:dyDescent="0.3">
      <c r="H126"/>
    </row>
    <row r="127" spans="1:8" x14ac:dyDescent="0.3">
      <c r="H127"/>
    </row>
    <row r="128" spans="1:8" x14ac:dyDescent="0.3">
      <c r="H128"/>
    </row>
    <row r="129" spans="8:8" x14ac:dyDescent="0.3">
      <c r="H129"/>
    </row>
    <row r="130" spans="8:8" x14ac:dyDescent="0.3">
      <c r="H130"/>
    </row>
    <row r="131" spans="8:8" x14ac:dyDescent="0.3">
      <c r="H131"/>
    </row>
    <row r="132" spans="8:8" x14ac:dyDescent="0.3">
      <c r="H132"/>
    </row>
    <row r="133" spans="8:8" x14ac:dyDescent="0.3">
      <c r="H133"/>
    </row>
    <row r="134" spans="8:8" x14ac:dyDescent="0.3">
      <c r="H134"/>
    </row>
    <row r="135" spans="8:8" x14ac:dyDescent="0.3">
      <c r="H135"/>
    </row>
    <row r="136" spans="8:8" x14ac:dyDescent="0.3">
      <c r="H136"/>
    </row>
    <row r="137" spans="8:8" x14ac:dyDescent="0.3">
      <c r="H137"/>
    </row>
    <row r="138" spans="8:8" x14ac:dyDescent="0.3">
      <c r="H138"/>
    </row>
    <row r="139" spans="8:8" x14ac:dyDescent="0.3">
      <c r="H139"/>
    </row>
    <row r="140" spans="8:8" x14ac:dyDescent="0.3">
      <c r="H140"/>
    </row>
    <row r="141" spans="8:8" x14ac:dyDescent="0.3">
      <c r="H141"/>
    </row>
    <row r="142" spans="8:8" x14ac:dyDescent="0.3">
      <c r="H142"/>
    </row>
    <row r="143" spans="8:8" x14ac:dyDescent="0.3">
      <c r="H143"/>
    </row>
    <row r="144" spans="8:8" x14ac:dyDescent="0.3">
      <c r="H144"/>
    </row>
    <row r="145" spans="8:8" x14ac:dyDescent="0.3">
      <c r="H145"/>
    </row>
    <row r="146" spans="8:8" x14ac:dyDescent="0.3">
      <c r="H146"/>
    </row>
    <row r="147" spans="8:8" x14ac:dyDescent="0.3">
      <c r="H147"/>
    </row>
    <row r="148" spans="8:8" x14ac:dyDescent="0.3">
      <c r="H148"/>
    </row>
    <row r="149" spans="8:8" x14ac:dyDescent="0.3">
      <c r="H149"/>
    </row>
    <row r="150" spans="8:8" x14ac:dyDescent="0.3">
      <c r="H150"/>
    </row>
    <row r="151" spans="8:8" x14ac:dyDescent="0.3">
      <c r="H151"/>
    </row>
    <row r="152" spans="8:8" x14ac:dyDescent="0.3">
      <c r="H152"/>
    </row>
    <row r="153" spans="8:8" x14ac:dyDescent="0.3">
      <c r="H153"/>
    </row>
    <row r="154" spans="8:8" x14ac:dyDescent="0.3">
      <c r="H154"/>
    </row>
    <row r="155" spans="8:8" x14ac:dyDescent="0.3">
      <c r="H155"/>
    </row>
    <row r="156" spans="8:8" x14ac:dyDescent="0.3">
      <c r="H156"/>
    </row>
    <row r="157" spans="8:8" x14ac:dyDescent="0.3">
      <c r="H157"/>
    </row>
    <row r="158" spans="8:8" x14ac:dyDescent="0.3">
      <c r="H158"/>
    </row>
    <row r="159" spans="8:8" x14ac:dyDescent="0.3">
      <c r="H159"/>
    </row>
    <row r="160" spans="8:8" x14ac:dyDescent="0.3">
      <c r="H160"/>
    </row>
    <row r="161" spans="8:8" x14ac:dyDescent="0.3">
      <c r="H161"/>
    </row>
    <row r="162" spans="8:8" x14ac:dyDescent="0.3">
      <c r="H162"/>
    </row>
    <row r="163" spans="8:8" x14ac:dyDescent="0.3">
      <c r="H163"/>
    </row>
    <row r="164" spans="8:8" x14ac:dyDescent="0.3">
      <c r="H164"/>
    </row>
    <row r="165" spans="8:8" x14ac:dyDescent="0.3">
      <c r="H165"/>
    </row>
    <row r="166" spans="8:8" x14ac:dyDescent="0.3">
      <c r="H166"/>
    </row>
    <row r="167" spans="8:8" x14ac:dyDescent="0.3">
      <c r="H167"/>
    </row>
    <row r="168" spans="8:8" x14ac:dyDescent="0.3">
      <c r="H168"/>
    </row>
    <row r="169" spans="8:8" x14ac:dyDescent="0.3">
      <c r="H169"/>
    </row>
    <row r="170" spans="8:8" x14ac:dyDescent="0.3">
      <c r="H170"/>
    </row>
    <row r="171" spans="8:8" x14ac:dyDescent="0.3">
      <c r="H171"/>
    </row>
    <row r="172" spans="8:8" x14ac:dyDescent="0.3">
      <c r="H172"/>
    </row>
    <row r="173" spans="8:8" x14ac:dyDescent="0.3">
      <c r="H173"/>
    </row>
    <row r="174" spans="8:8" x14ac:dyDescent="0.3">
      <c r="H174"/>
    </row>
    <row r="175" spans="8:8" x14ac:dyDescent="0.3">
      <c r="H175"/>
    </row>
    <row r="176" spans="8:8" x14ac:dyDescent="0.3">
      <c r="H176"/>
    </row>
    <row r="177" spans="8:8" x14ac:dyDescent="0.3">
      <c r="H177"/>
    </row>
    <row r="178" spans="8:8" x14ac:dyDescent="0.3">
      <c r="H178"/>
    </row>
    <row r="179" spans="8:8" x14ac:dyDescent="0.3">
      <c r="H179"/>
    </row>
    <row r="180" spans="8:8" x14ac:dyDescent="0.3">
      <c r="H180"/>
    </row>
    <row r="181" spans="8:8" x14ac:dyDescent="0.3">
      <c r="H181"/>
    </row>
    <row r="182" spans="8:8" x14ac:dyDescent="0.3">
      <c r="H182"/>
    </row>
    <row r="183" spans="8:8" x14ac:dyDescent="0.3">
      <c r="H183"/>
    </row>
    <row r="184" spans="8:8" x14ac:dyDescent="0.3">
      <c r="H184"/>
    </row>
    <row r="185" spans="8:8" x14ac:dyDescent="0.3">
      <c r="H185"/>
    </row>
    <row r="186" spans="8:8" x14ac:dyDescent="0.3">
      <c r="H186"/>
    </row>
    <row r="187" spans="8:8" x14ac:dyDescent="0.3">
      <c r="H187"/>
    </row>
    <row r="188" spans="8:8" x14ac:dyDescent="0.3">
      <c r="H188"/>
    </row>
    <row r="189" spans="8:8" x14ac:dyDescent="0.3">
      <c r="H189"/>
    </row>
    <row r="190" spans="8:8" x14ac:dyDescent="0.3">
      <c r="H190"/>
    </row>
    <row r="191" spans="8:8" x14ac:dyDescent="0.3">
      <c r="H191"/>
    </row>
    <row r="192" spans="8:8" x14ac:dyDescent="0.3">
      <c r="H192"/>
    </row>
    <row r="193" spans="8:8" x14ac:dyDescent="0.3">
      <c r="H193"/>
    </row>
    <row r="194" spans="8:8" x14ac:dyDescent="0.3">
      <c r="H194"/>
    </row>
    <row r="195" spans="8:8" x14ac:dyDescent="0.3">
      <c r="H195"/>
    </row>
    <row r="196" spans="8:8" x14ac:dyDescent="0.3">
      <c r="H196"/>
    </row>
    <row r="197" spans="8:8" x14ac:dyDescent="0.3">
      <c r="H197"/>
    </row>
    <row r="198" spans="8:8" x14ac:dyDescent="0.3">
      <c r="H198"/>
    </row>
    <row r="199" spans="8:8" x14ac:dyDescent="0.3">
      <c r="H199"/>
    </row>
    <row r="200" spans="8:8" x14ac:dyDescent="0.3">
      <c r="H200"/>
    </row>
    <row r="201" spans="8:8" x14ac:dyDescent="0.3">
      <c r="H201"/>
    </row>
    <row r="202" spans="8:8" x14ac:dyDescent="0.3">
      <c r="H202"/>
    </row>
    <row r="203" spans="8:8" x14ac:dyDescent="0.3">
      <c r="H203"/>
    </row>
    <row r="204" spans="8:8" x14ac:dyDescent="0.3">
      <c r="H204"/>
    </row>
    <row r="205" spans="8:8" x14ac:dyDescent="0.3">
      <c r="H205"/>
    </row>
    <row r="206" spans="8:8" x14ac:dyDescent="0.3">
      <c r="H206"/>
    </row>
    <row r="207" spans="8:8" x14ac:dyDescent="0.3">
      <c r="H207"/>
    </row>
    <row r="208" spans="8:8" x14ac:dyDescent="0.3">
      <c r="H208"/>
    </row>
    <row r="209" spans="8:8" x14ac:dyDescent="0.3">
      <c r="H209"/>
    </row>
    <row r="210" spans="8:8" x14ac:dyDescent="0.3">
      <c r="H210"/>
    </row>
    <row r="211" spans="8:8" x14ac:dyDescent="0.3">
      <c r="H211"/>
    </row>
    <row r="212" spans="8:8" x14ac:dyDescent="0.3">
      <c r="H212"/>
    </row>
    <row r="213" spans="8:8" x14ac:dyDescent="0.3">
      <c r="H213"/>
    </row>
    <row r="214" spans="8:8" x14ac:dyDescent="0.3">
      <c r="H214"/>
    </row>
    <row r="215" spans="8:8" x14ac:dyDescent="0.3">
      <c r="H215"/>
    </row>
    <row r="216" spans="8:8" x14ac:dyDescent="0.3">
      <c r="H216"/>
    </row>
    <row r="217" spans="8:8" x14ac:dyDescent="0.3">
      <c r="H217"/>
    </row>
    <row r="218" spans="8:8" x14ac:dyDescent="0.3">
      <c r="H218"/>
    </row>
    <row r="219" spans="8:8" x14ac:dyDescent="0.3">
      <c r="H219"/>
    </row>
    <row r="220" spans="8:8" x14ac:dyDescent="0.3">
      <c r="H220"/>
    </row>
    <row r="221" spans="8:8" x14ac:dyDescent="0.3">
      <c r="H221"/>
    </row>
    <row r="222" spans="8:8" x14ac:dyDescent="0.3">
      <c r="H222"/>
    </row>
    <row r="223" spans="8:8" x14ac:dyDescent="0.3">
      <c r="H223"/>
    </row>
    <row r="224" spans="8:8" x14ac:dyDescent="0.3">
      <c r="H224"/>
    </row>
    <row r="225" spans="8:8" x14ac:dyDescent="0.3">
      <c r="H225"/>
    </row>
    <row r="226" spans="8:8" x14ac:dyDescent="0.3">
      <c r="H226"/>
    </row>
    <row r="227" spans="8:8" x14ac:dyDescent="0.3">
      <c r="H227"/>
    </row>
    <row r="228" spans="8:8" x14ac:dyDescent="0.3">
      <c r="H228"/>
    </row>
    <row r="229" spans="8:8" x14ac:dyDescent="0.3">
      <c r="H229"/>
    </row>
    <row r="230" spans="8:8" x14ac:dyDescent="0.3">
      <c r="H230"/>
    </row>
    <row r="231" spans="8:8" x14ac:dyDescent="0.3">
      <c r="H231"/>
    </row>
    <row r="232" spans="8:8" x14ac:dyDescent="0.3">
      <c r="H232"/>
    </row>
    <row r="233" spans="8:8" x14ac:dyDescent="0.3">
      <c r="H233"/>
    </row>
    <row r="234" spans="8:8" x14ac:dyDescent="0.3">
      <c r="H234"/>
    </row>
    <row r="235" spans="8:8" x14ac:dyDescent="0.3">
      <c r="H235"/>
    </row>
    <row r="236" spans="8:8" x14ac:dyDescent="0.3">
      <c r="H236"/>
    </row>
    <row r="237" spans="8:8" x14ac:dyDescent="0.3">
      <c r="H237"/>
    </row>
    <row r="238" spans="8:8" x14ac:dyDescent="0.3">
      <c r="H238"/>
    </row>
    <row r="239" spans="8:8" x14ac:dyDescent="0.3">
      <c r="H239"/>
    </row>
    <row r="240" spans="8:8" x14ac:dyDescent="0.3">
      <c r="H240"/>
    </row>
    <row r="241" spans="8:8" x14ac:dyDescent="0.3">
      <c r="H241"/>
    </row>
    <row r="242" spans="8:8" x14ac:dyDescent="0.3">
      <c r="H242"/>
    </row>
    <row r="243" spans="8:8" x14ac:dyDescent="0.3">
      <c r="H243"/>
    </row>
    <row r="244" spans="8:8" x14ac:dyDescent="0.3">
      <c r="H244"/>
    </row>
    <row r="245" spans="8:8" x14ac:dyDescent="0.3">
      <c r="H245"/>
    </row>
    <row r="246" spans="8:8" x14ac:dyDescent="0.3">
      <c r="H246"/>
    </row>
    <row r="247" spans="8:8" x14ac:dyDescent="0.3">
      <c r="H247"/>
    </row>
    <row r="248" spans="8:8" x14ac:dyDescent="0.3">
      <c r="H248"/>
    </row>
    <row r="249" spans="8:8" x14ac:dyDescent="0.3">
      <c r="H249"/>
    </row>
    <row r="250" spans="8:8" x14ac:dyDescent="0.3">
      <c r="H250"/>
    </row>
    <row r="251" spans="8:8" x14ac:dyDescent="0.3">
      <c r="H251"/>
    </row>
    <row r="252" spans="8:8" x14ac:dyDescent="0.3">
      <c r="H252"/>
    </row>
    <row r="253" spans="8:8" x14ac:dyDescent="0.3">
      <c r="H253"/>
    </row>
    <row r="254" spans="8:8" x14ac:dyDescent="0.3">
      <c r="H254"/>
    </row>
    <row r="255" spans="8:8" x14ac:dyDescent="0.3">
      <c r="H255"/>
    </row>
    <row r="256" spans="8:8" x14ac:dyDescent="0.3">
      <c r="H256"/>
    </row>
    <row r="257" spans="8:8" x14ac:dyDescent="0.3">
      <c r="H257"/>
    </row>
    <row r="258" spans="8:8" x14ac:dyDescent="0.3">
      <c r="H258"/>
    </row>
    <row r="259" spans="8:8" x14ac:dyDescent="0.3">
      <c r="H259"/>
    </row>
    <row r="260" spans="8:8" x14ac:dyDescent="0.3">
      <c r="H260"/>
    </row>
    <row r="261" spans="8:8" x14ac:dyDescent="0.3">
      <c r="H261"/>
    </row>
    <row r="262" spans="8:8" x14ac:dyDescent="0.3">
      <c r="H262"/>
    </row>
    <row r="263" spans="8:8" x14ac:dyDescent="0.3">
      <c r="H263"/>
    </row>
    <row r="264" spans="8:8" x14ac:dyDescent="0.3">
      <c r="H264"/>
    </row>
    <row r="265" spans="8:8" x14ac:dyDescent="0.3">
      <c r="H265"/>
    </row>
    <row r="266" spans="8:8" x14ac:dyDescent="0.3">
      <c r="H266"/>
    </row>
    <row r="267" spans="8:8" x14ac:dyDescent="0.3">
      <c r="H267"/>
    </row>
    <row r="268" spans="8:8" x14ac:dyDescent="0.3">
      <c r="H268"/>
    </row>
    <row r="269" spans="8:8" x14ac:dyDescent="0.3">
      <c r="H269"/>
    </row>
    <row r="270" spans="8:8" x14ac:dyDescent="0.3">
      <c r="H270"/>
    </row>
    <row r="271" spans="8:8" x14ac:dyDescent="0.3">
      <c r="H271"/>
    </row>
    <row r="272" spans="8:8" x14ac:dyDescent="0.3">
      <c r="H272"/>
    </row>
    <row r="273" spans="8:8" x14ac:dyDescent="0.3">
      <c r="H273"/>
    </row>
    <row r="274" spans="8:8" x14ac:dyDescent="0.3">
      <c r="H274"/>
    </row>
    <row r="275" spans="8:8" x14ac:dyDescent="0.3">
      <c r="H275"/>
    </row>
    <row r="276" spans="8:8" x14ac:dyDescent="0.3">
      <c r="H276"/>
    </row>
    <row r="277" spans="8:8" x14ac:dyDescent="0.3">
      <c r="H277"/>
    </row>
    <row r="278" spans="8:8" x14ac:dyDescent="0.3">
      <c r="H278"/>
    </row>
    <row r="279" spans="8:8" x14ac:dyDescent="0.3">
      <c r="H279"/>
    </row>
    <row r="280" spans="8:8" x14ac:dyDescent="0.3">
      <c r="H280"/>
    </row>
    <row r="281" spans="8:8" x14ac:dyDescent="0.3">
      <c r="H281"/>
    </row>
    <row r="282" spans="8:8" x14ac:dyDescent="0.3">
      <c r="H282"/>
    </row>
    <row r="283" spans="8:8" x14ac:dyDescent="0.3">
      <c r="H283"/>
    </row>
    <row r="284" spans="8:8" x14ac:dyDescent="0.3">
      <c r="H284"/>
    </row>
    <row r="285" spans="8:8" x14ac:dyDescent="0.3">
      <c r="H285"/>
    </row>
    <row r="286" spans="8:8" x14ac:dyDescent="0.3">
      <c r="H286"/>
    </row>
    <row r="287" spans="8:8" x14ac:dyDescent="0.3">
      <c r="H287"/>
    </row>
    <row r="288" spans="8:8" x14ac:dyDescent="0.3">
      <c r="H288"/>
    </row>
    <row r="289" spans="8:8" x14ac:dyDescent="0.3">
      <c r="H289"/>
    </row>
    <row r="290" spans="8:8" x14ac:dyDescent="0.3">
      <c r="H290"/>
    </row>
    <row r="291" spans="8:8" x14ac:dyDescent="0.3">
      <c r="H291"/>
    </row>
    <row r="292" spans="8:8" x14ac:dyDescent="0.3">
      <c r="H292"/>
    </row>
    <row r="293" spans="8:8" x14ac:dyDescent="0.3">
      <c r="H293"/>
    </row>
    <row r="294" spans="8:8" x14ac:dyDescent="0.3">
      <c r="H294"/>
    </row>
    <row r="295" spans="8:8" x14ac:dyDescent="0.3">
      <c r="H295"/>
    </row>
    <row r="296" spans="8:8" x14ac:dyDescent="0.3">
      <c r="H296"/>
    </row>
    <row r="297" spans="8:8" x14ac:dyDescent="0.3">
      <c r="H297"/>
    </row>
    <row r="298" spans="8:8" x14ac:dyDescent="0.3">
      <c r="H298"/>
    </row>
    <row r="299" spans="8:8" x14ac:dyDescent="0.3">
      <c r="H299"/>
    </row>
    <row r="300" spans="8:8" x14ac:dyDescent="0.3">
      <c r="H300"/>
    </row>
    <row r="301" spans="8:8" x14ac:dyDescent="0.3">
      <c r="H301"/>
    </row>
    <row r="302" spans="8:8" x14ac:dyDescent="0.3">
      <c r="H302"/>
    </row>
    <row r="303" spans="8:8" x14ac:dyDescent="0.3">
      <c r="H303"/>
    </row>
    <row r="304" spans="8:8" x14ac:dyDescent="0.3">
      <c r="H304"/>
    </row>
    <row r="305" spans="8:8" x14ac:dyDescent="0.3">
      <c r="H305"/>
    </row>
    <row r="306" spans="8:8" x14ac:dyDescent="0.3">
      <c r="H306"/>
    </row>
    <row r="307" spans="8:8" x14ac:dyDescent="0.3">
      <c r="H307"/>
    </row>
    <row r="308" spans="8:8" x14ac:dyDescent="0.3">
      <c r="H308"/>
    </row>
    <row r="309" spans="8:8" x14ac:dyDescent="0.3">
      <c r="H309"/>
    </row>
    <row r="310" spans="8:8" x14ac:dyDescent="0.3">
      <c r="H310"/>
    </row>
    <row r="311" spans="8:8" x14ac:dyDescent="0.3">
      <c r="H311"/>
    </row>
    <row r="312" spans="8:8" x14ac:dyDescent="0.3">
      <c r="H312"/>
    </row>
    <row r="313" spans="8:8" x14ac:dyDescent="0.3">
      <c r="H313"/>
    </row>
    <row r="314" spans="8:8" x14ac:dyDescent="0.3">
      <c r="H314"/>
    </row>
  </sheetData>
  <mergeCells count="27">
    <mergeCell ref="A120:A121"/>
    <mergeCell ref="A102:A103"/>
    <mergeCell ref="A2:A3"/>
    <mergeCell ref="A46:A48"/>
    <mergeCell ref="A52:A55"/>
    <mergeCell ref="A85:A86"/>
    <mergeCell ref="A82:A83"/>
    <mergeCell ref="A76:A77"/>
    <mergeCell ref="A69:A72"/>
    <mergeCell ref="A5:A17"/>
    <mergeCell ref="A28:A29"/>
    <mergeCell ref="A107:A108"/>
    <mergeCell ref="A18:A20"/>
    <mergeCell ref="A21:A27"/>
    <mergeCell ref="A50:A51"/>
    <mergeCell ref="A58:A60"/>
    <mergeCell ref="A62:A63"/>
    <mergeCell ref="A56:A57"/>
    <mergeCell ref="A37:A38"/>
    <mergeCell ref="A92:A93"/>
    <mergeCell ref="A98:A99"/>
    <mergeCell ref="A79:A81"/>
    <mergeCell ref="A114:A116"/>
    <mergeCell ref="A40:A42"/>
    <mergeCell ref="A87:A89"/>
    <mergeCell ref="A30:A36"/>
    <mergeCell ref="A111:A1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8802-9BB5-48A8-A620-4ADB612F353E}">
  <dimension ref="A1:N62"/>
  <sheetViews>
    <sheetView workbookViewId="0">
      <selection sqref="A1:N61"/>
    </sheetView>
  </sheetViews>
  <sheetFormatPr defaultRowHeight="14.4" x14ac:dyDescent="0.3"/>
  <cols>
    <col min="1" max="1" width="15.88671875" customWidth="1"/>
    <col min="2" max="2" width="10.21875" customWidth="1"/>
    <col min="3" max="3" width="12.44140625" customWidth="1"/>
    <col min="4" max="4" width="10.44140625" customWidth="1"/>
    <col min="5" max="5" width="9.6640625" customWidth="1"/>
    <col min="6" max="6" width="10.88671875" customWidth="1"/>
    <col min="7" max="7" width="13.6640625" customWidth="1"/>
    <col min="8" max="8" width="9.33203125" customWidth="1"/>
    <col min="9" max="9" width="10.77734375" customWidth="1"/>
    <col min="10" max="10" width="10.5546875" bestFit="1" customWidth="1"/>
    <col min="11" max="11" width="9.5546875" bestFit="1" customWidth="1"/>
    <col min="13" max="13" width="13.6640625" customWidth="1"/>
    <col min="14" max="14" width="9.5546875" bestFit="1" customWidth="1"/>
  </cols>
  <sheetData>
    <row r="1" spans="1:14" x14ac:dyDescent="0.3">
      <c r="A1" s="10" t="s">
        <v>67</v>
      </c>
      <c r="B1" s="23" t="s">
        <v>495</v>
      </c>
      <c r="C1" s="23" t="s">
        <v>498</v>
      </c>
      <c r="D1" s="23" t="s">
        <v>499</v>
      </c>
      <c r="E1" s="23" t="s">
        <v>496</v>
      </c>
      <c r="F1" s="23" t="s">
        <v>497</v>
      </c>
      <c r="G1" s="23" t="s">
        <v>500</v>
      </c>
      <c r="H1" s="23" t="s">
        <v>501</v>
      </c>
      <c r="I1" s="23" t="s">
        <v>503</v>
      </c>
      <c r="J1" s="23" t="s">
        <v>504</v>
      </c>
      <c r="K1" s="23" t="s">
        <v>505</v>
      </c>
      <c r="L1" s="23" t="s">
        <v>506</v>
      </c>
      <c r="M1" s="23" t="s">
        <v>507</v>
      </c>
      <c r="N1" s="23" t="s">
        <v>508</v>
      </c>
    </row>
    <row r="2" spans="1:14" x14ac:dyDescent="0.3">
      <c r="A2" s="11" t="s">
        <v>0</v>
      </c>
      <c r="B2" s="53">
        <v>2</v>
      </c>
      <c r="C2" s="53">
        <v>3</v>
      </c>
      <c r="D2" s="53">
        <f t="shared" ref="D2:D33" si="0">SUM(B2+C2)</f>
        <v>5</v>
      </c>
      <c r="E2" s="53">
        <v>2</v>
      </c>
      <c r="F2" s="53">
        <v>2</v>
      </c>
      <c r="G2" s="53"/>
      <c r="H2" s="53">
        <f>E2+F2+G2</f>
        <v>4</v>
      </c>
      <c r="I2" s="55">
        <f>D2/$D$62</f>
        <v>0.20833333333333334</v>
      </c>
      <c r="J2" s="55">
        <f>H2/$H$62</f>
        <v>0.25</v>
      </c>
      <c r="K2" s="59">
        <f>0.3*I2+0.7*J2</f>
        <v>0.23749999999999999</v>
      </c>
      <c r="L2" s="53">
        <v>4</v>
      </c>
      <c r="M2" s="55">
        <f>L2/$L$62</f>
        <v>0.21052631578947367</v>
      </c>
      <c r="N2" s="60">
        <f>0.5*M2+0.5*K2</f>
        <v>0.22401315789473683</v>
      </c>
    </row>
    <row r="3" spans="1:14" x14ac:dyDescent="0.3">
      <c r="A3" s="11" t="s">
        <v>1</v>
      </c>
      <c r="B3" s="53">
        <v>0</v>
      </c>
      <c r="C3" s="53">
        <v>1</v>
      </c>
      <c r="D3" s="53">
        <f t="shared" si="0"/>
        <v>1</v>
      </c>
      <c r="E3" s="53">
        <v>0</v>
      </c>
      <c r="F3" s="53">
        <v>1</v>
      </c>
      <c r="G3" s="53"/>
      <c r="H3" s="53">
        <f t="shared" ref="H3:H61" si="1">E3+F3+G3</f>
        <v>1</v>
      </c>
      <c r="I3" s="55">
        <f t="shared" ref="I3:I61" si="2">D3/$D$62</f>
        <v>4.1666666666666664E-2</v>
      </c>
      <c r="J3" s="55">
        <f t="shared" ref="J3:J61" si="3">H3/$H$62</f>
        <v>6.25E-2</v>
      </c>
      <c r="K3" s="59">
        <f t="shared" ref="K3:K61" si="4">0.3*I3+0.7*J3</f>
        <v>5.6249999999999994E-2</v>
      </c>
      <c r="L3" s="53">
        <v>4</v>
      </c>
      <c r="M3" s="55">
        <f t="shared" ref="M3:M61" si="5">L3/$L$62</f>
        <v>0.21052631578947367</v>
      </c>
      <c r="N3" s="60">
        <f t="shared" ref="N3:N61" si="6">0.5*M3+0.5*K3</f>
        <v>0.13338815789473685</v>
      </c>
    </row>
    <row r="4" spans="1:14" x14ac:dyDescent="0.3">
      <c r="A4" s="11" t="s">
        <v>2</v>
      </c>
      <c r="B4" s="53">
        <v>8</v>
      </c>
      <c r="C4" s="53">
        <v>16</v>
      </c>
      <c r="D4" s="53">
        <f t="shared" si="0"/>
        <v>24</v>
      </c>
      <c r="E4" s="53">
        <v>6</v>
      </c>
      <c r="F4" s="53">
        <v>13</v>
      </c>
      <c r="G4" s="53">
        <v>-3</v>
      </c>
      <c r="H4" s="53">
        <f>E4+F4+G4</f>
        <v>16</v>
      </c>
      <c r="I4" s="55">
        <f t="shared" si="2"/>
        <v>1</v>
      </c>
      <c r="J4" s="55">
        <f t="shared" si="3"/>
        <v>1</v>
      </c>
      <c r="K4" s="59">
        <f t="shared" si="4"/>
        <v>1</v>
      </c>
      <c r="L4" s="53">
        <v>11</v>
      </c>
      <c r="M4" s="55">
        <f t="shared" si="5"/>
        <v>0.57894736842105265</v>
      </c>
      <c r="N4" s="60">
        <f t="shared" si="6"/>
        <v>0.78947368421052633</v>
      </c>
    </row>
    <row r="5" spans="1:14" x14ac:dyDescent="0.3">
      <c r="A5" s="11" t="s">
        <v>3</v>
      </c>
      <c r="B5" s="53">
        <v>0</v>
      </c>
      <c r="C5" s="53">
        <v>4</v>
      </c>
      <c r="D5" s="53">
        <f t="shared" si="0"/>
        <v>4</v>
      </c>
      <c r="E5" s="53">
        <v>0</v>
      </c>
      <c r="F5" s="53">
        <v>3</v>
      </c>
      <c r="G5" s="53"/>
      <c r="H5" s="53">
        <f t="shared" si="1"/>
        <v>3</v>
      </c>
      <c r="I5" s="55">
        <f t="shared" si="2"/>
        <v>0.16666666666666666</v>
      </c>
      <c r="J5" s="55">
        <f t="shared" si="3"/>
        <v>0.1875</v>
      </c>
      <c r="K5" s="59">
        <f t="shared" si="4"/>
        <v>0.18124999999999997</v>
      </c>
      <c r="L5" s="53">
        <v>2</v>
      </c>
      <c r="M5" s="55">
        <f t="shared" si="5"/>
        <v>0.10526315789473684</v>
      </c>
      <c r="N5" s="60">
        <f t="shared" si="6"/>
        <v>0.1432565789473684</v>
      </c>
    </row>
    <row r="6" spans="1:14" x14ac:dyDescent="0.3">
      <c r="A6" s="11" t="s">
        <v>4</v>
      </c>
      <c r="B6" s="53">
        <v>6</v>
      </c>
      <c r="C6" s="53">
        <v>7</v>
      </c>
      <c r="D6" s="53">
        <f t="shared" si="0"/>
        <v>13</v>
      </c>
      <c r="E6" s="53">
        <v>4</v>
      </c>
      <c r="F6" s="53">
        <v>7</v>
      </c>
      <c r="G6" s="53"/>
      <c r="H6" s="53">
        <f t="shared" si="1"/>
        <v>11</v>
      </c>
      <c r="I6" s="55">
        <f t="shared" si="2"/>
        <v>0.54166666666666663</v>
      </c>
      <c r="J6" s="55">
        <f t="shared" si="3"/>
        <v>0.6875</v>
      </c>
      <c r="K6" s="59">
        <f t="shared" si="4"/>
        <v>0.64374999999999993</v>
      </c>
      <c r="L6" s="53">
        <v>6</v>
      </c>
      <c r="M6" s="55">
        <f t="shared" si="5"/>
        <v>0.31578947368421051</v>
      </c>
      <c r="N6" s="60">
        <f t="shared" si="6"/>
        <v>0.47976973684210522</v>
      </c>
    </row>
    <row r="7" spans="1:14" x14ac:dyDescent="0.3">
      <c r="A7" s="11" t="s">
        <v>5</v>
      </c>
      <c r="B7" s="53">
        <v>1</v>
      </c>
      <c r="C7" s="53">
        <v>2</v>
      </c>
      <c r="D7" s="53">
        <f t="shared" si="0"/>
        <v>3</v>
      </c>
      <c r="E7" s="53">
        <v>1</v>
      </c>
      <c r="F7" s="53">
        <v>2</v>
      </c>
      <c r="G7" s="53"/>
      <c r="H7" s="53">
        <f t="shared" si="1"/>
        <v>3</v>
      </c>
      <c r="I7" s="55">
        <f t="shared" si="2"/>
        <v>0.125</v>
      </c>
      <c r="J7" s="55">
        <f t="shared" si="3"/>
        <v>0.1875</v>
      </c>
      <c r="K7" s="59">
        <f t="shared" si="4"/>
        <v>0.16874999999999998</v>
      </c>
      <c r="L7" s="53">
        <v>8</v>
      </c>
      <c r="M7" s="55">
        <f t="shared" si="5"/>
        <v>0.42105263157894735</v>
      </c>
      <c r="N7" s="60">
        <f t="shared" si="6"/>
        <v>0.29490131578947365</v>
      </c>
    </row>
    <row r="8" spans="1:14" x14ac:dyDescent="0.3">
      <c r="A8" s="11" t="s">
        <v>6</v>
      </c>
      <c r="B8" s="53">
        <v>1</v>
      </c>
      <c r="C8" s="53">
        <v>7</v>
      </c>
      <c r="D8" s="53">
        <f t="shared" si="0"/>
        <v>8</v>
      </c>
      <c r="E8" s="53">
        <v>1</v>
      </c>
      <c r="F8" s="53">
        <v>7</v>
      </c>
      <c r="G8" s="53"/>
      <c r="H8" s="53">
        <f t="shared" si="1"/>
        <v>8</v>
      </c>
      <c r="I8" s="55">
        <f t="shared" si="2"/>
        <v>0.33333333333333331</v>
      </c>
      <c r="J8" s="55">
        <f t="shared" si="3"/>
        <v>0.5</v>
      </c>
      <c r="K8" s="59">
        <f t="shared" si="4"/>
        <v>0.44999999999999996</v>
      </c>
      <c r="L8" s="53">
        <v>4</v>
      </c>
      <c r="M8" s="55">
        <f t="shared" si="5"/>
        <v>0.21052631578947367</v>
      </c>
      <c r="N8" s="60">
        <f t="shared" si="6"/>
        <v>0.33026315789473681</v>
      </c>
    </row>
    <row r="9" spans="1:14" x14ac:dyDescent="0.3">
      <c r="A9" s="11" t="s">
        <v>7</v>
      </c>
      <c r="B9" s="53">
        <v>3</v>
      </c>
      <c r="C9" s="53">
        <v>3</v>
      </c>
      <c r="D9" s="53">
        <f t="shared" si="0"/>
        <v>6</v>
      </c>
      <c r="E9" s="53">
        <v>1</v>
      </c>
      <c r="F9" s="53">
        <v>2</v>
      </c>
      <c r="G9" s="53">
        <v>-1</v>
      </c>
      <c r="H9" s="53">
        <f t="shared" si="1"/>
        <v>2</v>
      </c>
      <c r="I9" s="55">
        <f t="shared" si="2"/>
        <v>0.25</v>
      </c>
      <c r="J9" s="55">
        <f t="shared" si="3"/>
        <v>0.125</v>
      </c>
      <c r="K9" s="59">
        <f t="shared" si="4"/>
        <v>0.16249999999999998</v>
      </c>
      <c r="L9" s="53">
        <v>4</v>
      </c>
      <c r="M9" s="55">
        <f t="shared" si="5"/>
        <v>0.21052631578947367</v>
      </c>
      <c r="N9" s="60">
        <f t="shared" si="6"/>
        <v>0.18651315789473683</v>
      </c>
    </row>
    <row r="10" spans="1:14" x14ac:dyDescent="0.3">
      <c r="A10" s="11" t="s">
        <v>8</v>
      </c>
      <c r="B10" s="53">
        <v>1</v>
      </c>
      <c r="C10" s="53">
        <v>1</v>
      </c>
      <c r="D10" s="53">
        <f t="shared" si="0"/>
        <v>2</v>
      </c>
      <c r="E10" s="53">
        <v>1</v>
      </c>
      <c r="F10" s="53">
        <v>1</v>
      </c>
      <c r="G10" s="53"/>
      <c r="H10" s="53">
        <f t="shared" si="1"/>
        <v>2</v>
      </c>
      <c r="I10" s="55">
        <f t="shared" si="2"/>
        <v>8.3333333333333329E-2</v>
      </c>
      <c r="J10" s="55">
        <f t="shared" si="3"/>
        <v>0.125</v>
      </c>
      <c r="K10" s="59">
        <f t="shared" si="4"/>
        <v>0.11249999999999999</v>
      </c>
      <c r="L10" s="53">
        <v>2</v>
      </c>
      <c r="M10" s="55">
        <f t="shared" si="5"/>
        <v>0.10526315789473684</v>
      </c>
      <c r="N10" s="60">
        <f t="shared" si="6"/>
        <v>0.10888157894736841</v>
      </c>
    </row>
    <row r="11" spans="1:14" x14ac:dyDescent="0.3">
      <c r="A11" s="11" t="s">
        <v>9</v>
      </c>
      <c r="B11" s="53">
        <v>0</v>
      </c>
      <c r="C11" s="53">
        <v>2</v>
      </c>
      <c r="D11" s="53">
        <f t="shared" si="0"/>
        <v>2</v>
      </c>
      <c r="E11" s="53">
        <v>0</v>
      </c>
      <c r="F11" s="53">
        <v>3</v>
      </c>
      <c r="G11" s="53"/>
      <c r="H11" s="53">
        <f t="shared" si="1"/>
        <v>3</v>
      </c>
      <c r="I11" s="55">
        <f t="shared" si="2"/>
        <v>8.3333333333333329E-2</v>
      </c>
      <c r="J11" s="55">
        <f t="shared" si="3"/>
        <v>0.1875</v>
      </c>
      <c r="K11" s="59">
        <f t="shared" si="4"/>
        <v>0.15624999999999997</v>
      </c>
      <c r="L11" s="53">
        <v>3</v>
      </c>
      <c r="M11" s="55">
        <f t="shared" si="5"/>
        <v>0.15789473684210525</v>
      </c>
      <c r="N11" s="60">
        <f t="shared" si="6"/>
        <v>0.1570723684210526</v>
      </c>
    </row>
    <row r="12" spans="1:14" x14ac:dyDescent="0.3">
      <c r="A12" s="11" t="s">
        <v>10</v>
      </c>
      <c r="B12" s="53">
        <v>0</v>
      </c>
      <c r="C12" s="53">
        <v>0</v>
      </c>
      <c r="D12" s="53">
        <f t="shared" si="0"/>
        <v>0</v>
      </c>
      <c r="E12" s="53">
        <v>0</v>
      </c>
      <c r="F12" s="53">
        <v>0</v>
      </c>
      <c r="G12" s="53"/>
      <c r="H12" s="53">
        <f t="shared" si="1"/>
        <v>0</v>
      </c>
      <c r="I12" s="55">
        <f t="shared" si="2"/>
        <v>0</v>
      </c>
      <c r="J12" s="55">
        <f t="shared" si="3"/>
        <v>0</v>
      </c>
      <c r="K12" s="59">
        <f t="shared" si="4"/>
        <v>0</v>
      </c>
      <c r="L12" s="53">
        <v>1</v>
      </c>
      <c r="M12" s="55">
        <f t="shared" si="5"/>
        <v>5.2631578947368418E-2</v>
      </c>
      <c r="N12" s="60">
        <f t="shared" si="6"/>
        <v>2.6315789473684209E-2</v>
      </c>
    </row>
    <row r="13" spans="1:14" x14ac:dyDescent="0.3">
      <c r="A13" s="11" t="s">
        <v>11</v>
      </c>
      <c r="B13" s="53">
        <v>0</v>
      </c>
      <c r="C13" s="53">
        <v>1</v>
      </c>
      <c r="D13" s="53">
        <f t="shared" si="0"/>
        <v>1</v>
      </c>
      <c r="E13" s="53">
        <v>0</v>
      </c>
      <c r="F13" s="53">
        <v>1</v>
      </c>
      <c r="G13" s="53"/>
      <c r="H13" s="53">
        <f t="shared" si="1"/>
        <v>1</v>
      </c>
      <c r="I13" s="55">
        <f t="shared" si="2"/>
        <v>4.1666666666666664E-2</v>
      </c>
      <c r="J13" s="55">
        <f t="shared" si="3"/>
        <v>6.25E-2</v>
      </c>
      <c r="K13" s="59">
        <f t="shared" si="4"/>
        <v>5.6249999999999994E-2</v>
      </c>
      <c r="L13" s="53">
        <v>0</v>
      </c>
      <c r="M13" s="55">
        <f t="shared" si="5"/>
        <v>0</v>
      </c>
      <c r="N13" s="60">
        <f t="shared" si="6"/>
        <v>2.8124999999999997E-2</v>
      </c>
    </row>
    <row r="14" spans="1:14" x14ac:dyDescent="0.3">
      <c r="A14" s="11" t="s">
        <v>12</v>
      </c>
      <c r="B14" s="53">
        <v>0</v>
      </c>
      <c r="C14" s="53">
        <v>1</v>
      </c>
      <c r="D14" s="53">
        <f t="shared" si="0"/>
        <v>1</v>
      </c>
      <c r="E14" s="53">
        <v>0</v>
      </c>
      <c r="F14" s="53">
        <v>1</v>
      </c>
      <c r="G14" s="53"/>
      <c r="H14" s="53">
        <f t="shared" si="1"/>
        <v>1</v>
      </c>
      <c r="I14" s="55">
        <f t="shared" si="2"/>
        <v>4.1666666666666664E-2</v>
      </c>
      <c r="J14" s="55">
        <f t="shared" si="3"/>
        <v>6.25E-2</v>
      </c>
      <c r="K14" s="59">
        <f t="shared" si="4"/>
        <v>5.6249999999999994E-2</v>
      </c>
      <c r="L14" s="53">
        <v>2</v>
      </c>
      <c r="M14" s="55">
        <f t="shared" si="5"/>
        <v>0.10526315789473684</v>
      </c>
      <c r="N14" s="60">
        <f t="shared" si="6"/>
        <v>8.0756578947368415E-2</v>
      </c>
    </row>
    <row r="15" spans="1:14" x14ac:dyDescent="0.3">
      <c r="A15" s="11" t="s">
        <v>13</v>
      </c>
      <c r="B15" s="53">
        <v>5</v>
      </c>
      <c r="C15" s="53">
        <v>6</v>
      </c>
      <c r="D15" s="53">
        <f t="shared" si="0"/>
        <v>11</v>
      </c>
      <c r="E15" s="53">
        <v>4</v>
      </c>
      <c r="F15" s="53">
        <v>3</v>
      </c>
      <c r="G15" s="53"/>
      <c r="H15" s="53">
        <f t="shared" si="1"/>
        <v>7</v>
      </c>
      <c r="I15" s="55">
        <f t="shared" si="2"/>
        <v>0.45833333333333331</v>
      </c>
      <c r="J15" s="55">
        <f t="shared" si="3"/>
        <v>0.4375</v>
      </c>
      <c r="K15" s="59">
        <f t="shared" si="4"/>
        <v>0.44374999999999998</v>
      </c>
      <c r="L15" s="53">
        <v>19</v>
      </c>
      <c r="M15" s="55">
        <f t="shared" si="5"/>
        <v>1</v>
      </c>
      <c r="N15" s="60">
        <f t="shared" si="6"/>
        <v>0.72187500000000004</v>
      </c>
    </row>
    <row r="16" spans="1:14" x14ac:dyDescent="0.3">
      <c r="A16" s="11" t="s">
        <v>14</v>
      </c>
      <c r="B16" s="53">
        <v>0</v>
      </c>
      <c r="C16" s="53">
        <v>0</v>
      </c>
      <c r="D16" s="53">
        <f t="shared" si="0"/>
        <v>0</v>
      </c>
      <c r="E16" s="53">
        <v>0</v>
      </c>
      <c r="F16" s="53">
        <v>0</v>
      </c>
      <c r="G16" s="53"/>
      <c r="H16" s="53">
        <f t="shared" si="1"/>
        <v>0</v>
      </c>
      <c r="I16" s="55">
        <f t="shared" si="2"/>
        <v>0</v>
      </c>
      <c r="J16" s="55">
        <f t="shared" si="3"/>
        <v>0</v>
      </c>
      <c r="K16" s="59">
        <f t="shared" si="4"/>
        <v>0</v>
      </c>
      <c r="L16" s="53">
        <v>1</v>
      </c>
      <c r="M16" s="55">
        <f t="shared" si="5"/>
        <v>5.2631578947368418E-2</v>
      </c>
      <c r="N16" s="60">
        <f t="shared" si="6"/>
        <v>2.6315789473684209E-2</v>
      </c>
    </row>
    <row r="17" spans="1:14" x14ac:dyDescent="0.3">
      <c r="A17" s="11" t="s">
        <v>15</v>
      </c>
      <c r="B17" s="53">
        <v>0</v>
      </c>
      <c r="C17" s="53">
        <v>2</v>
      </c>
      <c r="D17" s="53">
        <f t="shared" si="0"/>
        <v>2</v>
      </c>
      <c r="E17" s="53">
        <v>0</v>
      </c>
      <c r="F17" s="53">
        <v>2</v>
      </c>
      <c r="G17" s="53"/>
      <c r="H17" s="53">
        <f t="shared" si="1"/>
        <v>2</v>
      </c>
      <c r="I17" s="55">
        <f t="shared" si="2"/>
        <v>8.3333333333333329E-2</v>
      </c>
      <c r="J17" s="55">
        <f t="shared" si="3"/>
        <v>0.125</v>
      </c>
      <c r="K17" s="59">
        <f t="shared" si="4"/>
        <v>0.11249999999999999</v>
      </c>
      <c r="L17" s="53">
        <v>8</v>
      </c>
      <c r="M17" s="55">
        <f t="shared" si="5"/>
        <v>0.42105263157894735</v>
      </c>
      <c r="N17" s="60">
        <f t="shared" si="6"/>
        <v>0.26677631578947369</v>
      </c>
    </row>
    <row r="18" spans="1:14" x14ac:dyDescent="0.3">
      <c r="A18" s="11" t="s">
        <v>16</v>
      </c>
      <c r="B18" s="53">
        <v>5</v>
      </c>
      <c r="C18" s="53">
        <v>5</v>
      </c>
      <c r="D18" s="53">
        <f t="shared" si="0"/>
        <v>10</v>
      </c>
      <c r="E18" s="53">
        <v>5</v>
      </c>
      <c r="F18" s="53">
        <v>4</v>
      </c>
      <c r="G18" s="53">
        <v>-1</v>
      </c>
      <c r="H18" s="53">
        <f t="shared" si="1"/>
        <v>8</v>
      </c>
      <c r="I18" s="55">
        <f t="shared" si="2"/>
        <v>0.41666666666666669</v>
      </c>
      <c r="J18" s="55">
        <f t="shared" si="3"/>
        <v>0.5</v>
      </c>
      <c r="K18" s="59">
        <f t="shared" si="4"/>
        <v>0.47499999999999998</v>
      </c>
      <c r="L18" s="53">
        <v>12</v>
      </c>
      <c r="M18" s="55">
        <f t="shared" si="5"/>
        <v>0.63157894736842102</v>
      </c>
      <c r="N18" s="60">
        <f t="shared" si="6"/>
        <v>0.55328947368421044</v>
      </c>
    </row>
    <row r="19" spans="1:14" x14ac:dyDescent="0.3">
      <c r="A19" s="11" t="s">
        <v>17</v>
      </c>
      <c r="B19" s="53">
        <v>0</v>
      </c>
      <c r="C19" s="53">
        <v>2</v>
      </c>
      <c r="D19" s="53">
        <f t="shared" si="0"/>
        <v>2</v>
      </c>
      <c r="E19" s="53">
        <v>0</v>
      </c>
      <c r="F19" s="53">
        <v>2</v>
      </c>
      <c r="G19" s="53"/>
      <c r="H19" s="53">
        <f t="shared" si="1"/>
        <v>2</v>
      </c>
      <c r="I19" s="55">
        <f t="shared" si="2"/>
        <v>8.3333333333333329E-2</v>
      </c>
      <c r="J19" s="55">
        <f t="shared" si="3"/>
        <v>0.125</v>
      </c>
      <c r="K19" s="59">
        <f t="shared" si="4"/>
        <v>0.11249999999999999</v>
      </c>
      <c r="L19" s="53">
        <v>3</v>
      </c>
      <c r="M19" s="55">
        <f t="shared" si="5"/>
        <v>0.15789473684210525</v>
      </c>
      <c r="N19" s="60">
        <f t="shared" si="6"/>
        <v>0.13519736842105262</v>
      </c>
    </row>
    <row r="20" spans="1:14" x14ac:dyDescent="0.3">
      <c r="A20" s="11" t="s">
        <v>18</v>
      </c>
      <c r="B20" s="53">
        <v>0</v>
      </c>
      <c r="C20" s="53">
        <v>2</v>
      </c>
      <c r="D20" s="53">
        <f t="shared" si="0"/>
        <v>2</v>
      </c>
      <c r="E20" s="53">
        <v>0</v>
      </c>
      <c r="F20" s="53">
        <v>3</v>
      </c>
      <c r="G20" s="53"/>
      <c r="H20" s="53">
        <f t="shared" si="1"/>
        <v>3</v>
      </c>
      <c r="I20" s="55">
        <f t="shared" si="2"/>
        <v>8.3333333333333329E-2</v>
      </c>
      <c r="J20" s="55">
        <f t="shared" si="3"/>
        <v>0.1875</v>
      </c>
      <c r="K20" s="59">
        <f t="shared" si="4"/>
        <v>0.15624999999999997</v>
      </c>
      <c r="L20" s="53">
        <v>0</v>
      </c>
      <c r="M20" s="55">
        <f t="shared" si="5"/>
        <v>0</v>
      </c>
      <c r="N20" s="60">
        <f t="shared" si="6"/>
        <v>7.8124999999999986E-2</v>
      </c>
    </row>
    <row r="21" spans="1:14" x14ac:dyDescent="0.3">
      <c r="A21" s="11" t="s">
        <v>19</v>
      </c>
      <c r="B21" s="53">
        <v>0</v>
      </c>
      <c r="C21" s="53">
        <v>0</v>
      </c>
      <c r="D21" s="53">
        <f t="shared" si="0"/>
        <v>0</v>
      </c>
      <c r="E21" s="53">
        <v>1</v>
      </c>
      <c r="F21" s="53">
        <v>0</v>
      </c>
      <c r="G21" s="53"/>
      <c r="H21" s="53">
        <f t="shared" si="1"/>
        <v>1</v>
      </c>
      <c r="I21" s="55">
        <f t="shared" si="2"/>
        <v>0</v>
      </c>
      <c r="J21" s="55">
        <f t="shared" si="3"/>
        <v>6.25E-2</v>
      </c>
      <c r="K21" s="59">
        <f t="shared" si="4"/>
        <v>4.3749999999999997E-2</v>
      </c>
      <c r="L21" s="53">
        <v>1</v>
      </c>
      <c r="M21" s="55">
        <f t="shared" si="5"/>
        <v>5.2631578947368418E-2</v>
      </c>
      <c r="N21" s="60">
        <f t="shared" si="6"/>
        <v>4.8190789473684208E-2</v>
      </c>
    </row>
    <row r="22" spans="1:14" x14ac:dyDescent="0.3">
      <c r="A22" s="11" t="s">
        <v>20</v>
      </c>
      <c r="B22" s="53">
        <v>0</v>
      </c>
      <c r="C22" s="53">
        <v>3</v>
      </c>
      <c r="D22" s="53">
        <f t="shared" si="0"/>
        <v>3</v>
      </c>
      <c r="E22" s="53">
        <v>0</v>
      </c>
      <c r="F22" s="53">
        <v>2</v>
      </c>
      <c r="G22" s="53"/>
      <c r="H22" s="53">
        <f t="shared" si="1"/>
        <v>2</v>
      </c>
      <c r="I22" s="55">
        <f t="shared" si="2"/>
        <v>0.125</v>
      </c>
      <c r="J22" s="55">
        <f t="shared" si="3"/>
        <v>0.125</v>
      </c>
      <c r="K22" s="59">
        <f t="shared" si="4"/>
        <v>0.125</v>
      </c>
      <c r="L22" s="53">
        <v>4</v>
      </c>
      <c r="M22" s="55">
        <f t="shared" si="5"/>
        <v>0.21052631578947367</v>
      </c>
      <c r="N22" s="60">
        <f t="shared" si="6"/>
        <v>0.16776315789473684</v>
      </c>
    </row>
    <row r="23" spans="1:14" x14ac:dyDescent="0.3">
      <c r="A23" s="11" t="s">
        <v>21</v>
      </c>
      <c r="B23" s="53">
        <v>0</v>
      </c>
      <c r="C23" s="53">
        <v>1</v>
      </c>
      <c r="D23" s="53">
        <f t="shared" si="0"/>
        <v>1</v>
      </c>
      <c r="E23" s="53">
        <v>0</v>
      </c>
      <c r="F23" s="53">
        <v>1</v>
      </c>
      <c r="G23" s="53"/>
      <c r="H23" s="53">
        <f t="shared" si="1"/>
        <v>1</v>
      </c>
      <c r="I23" s="55">
        <f t="shared" si="2"/>
        <v>4.1666666666666664E-2</v>
      </c>
      <c r="J23" s="55">
        <f t="shared" si="3"/>
        <v>6.25E-2</v>
      </c>
      <c r="K23" s="59">
        <f t="shared" si="4"/>
        <v>5.6249999999999994E-2</v>
      </c>
      <c r="L23" s="53">
        <v>1</v>
      </c>
      <c r="M23" s="55">
        <f t="shared" si="5"/>
        <v>5.2631578947368418E-2</v>
      </c>
      <c r="N23" s="60">
        <f t="shared" si="6"/>
        <v>5.4440789473684206E-2</v>
      </c>
    </row>
    <row r="24" spans="1:14" x14ac:dyDescent="0.3">
      <c r="A24" s="11" t="s">
        <v>22</v>
      </c>
      <c r="B24" s="53">
        <v>0</v>
      </c>
      <c r="C24" s="53">
        <v>0</v>
      </c>
      <c r="D24" s="53">
        <f t="shared" si="0"/>
        <v>0</v>
      </c>
      <c r="E24" s="53">
        <v>0</v>
      </c>
      <c r="F24" s="53">
        <v>0</v>
      </c>
      <c r="G24" s="53"/>
      <c r="H24" s="53">
        <f t="shared" si="1"/>
        <v>0</v>
      </c>
      <c r="I24" s="55">
        <f t="shared" si="2"/>
        <v>0</v>
      </c>
      <c r="J24" s="55">
        <f t="shared" si="3"/>
        <v>0</v>
      </c>
      <c r="K24" s="59">
        <f t="shared" si="4"/>
        <v>0</v>
      </c>
      <c r="L24" s="53">
        <v>0</v>
      </c>
      <c r="M24" s="55">
        <f t="shared" si="5"/>
        <v>0</v>
      </c>
      <c r="N24" s="60">
        <f t="shared" si="6"/>
        <v>0</v>
      </c>
    </row>
    <row r="25" spans="1:14" x14ac:dyDescent="0.3">
      <c r="A25" s="11" t="s">
        <v>23</v>
      </c>
      <c r="B25" s="53">
        <v>0</v>
      </c>
      <c r="C25" s="53">
        <v>0</v>
      </c>
      <c r="D25" s="53">
        <f t="shared" si="0"/>
        <v>0</v>
      </c>
      <c r="E25" s="53">
        <v>0</v>
      </c>
      <c r="F25" s="53">
        <v>0</v>
      </c>
      <c r="G25" s="53"/>
      <c r="H25" s="53">
        <f t="shared" si="1"/>
        <v>0</v>
      </c>
      <c r="I25" s="55">
        <f t="shared" si="2"/>
        <v>0</v>
      </c>
      <c r="J25" s="55">
        <f t="shared" si="3"/>
        <v>0</v>
      </c>
      <c r="K25" s="59">
        <f t="shared" si="4"/>
        <v>0</v>
      </c>
      <c r="L25" s="53">
        <v>2</v>
      </c>
      <c r="M25" s="55">
        <f t="shared" si="5"/>
        <v>0.10526315789473684</v>
      </c>
      <c r="N25" s="60">
        <f t="shared" si="6"/>
        <v>5.2631578947368418E-2</v>
      </c>
    </row>
    <row r="26" spans="1:14" x14ac:dyDescent="0.3">
      <c r="A26" s="11" t="s">
        <v>24</v>
      </c>
      <c r="B26" s="53">
        <v>0</v>
      </c>
      <c r="C26" s="53">
        <v>0</v>
      </c>
      <c r="D26" s="53">
        <f t="shared" si="0"/>
        <v>0</v>
      </c>
      <c r="E26" s="53">
        <v>0</v>
      </c>
      <c r="F26" s="53">
        <v>0</v>
      </c>
      <c r="G26" s="53"/>
      <c r="H26" s="53">
        <f t="shared" si="1"/>
        <v>0</v>
      </c>
      <c r="I26" s="55">
        <f t="shared" si="2"/>
        <v>0</v>
      </c>
      <c r="J26" s="55">
        <f t="shared" si="3"/>
        <v>0</v>
      </c>
      <c r="K26" s="59">
        <f t="shared" si="4"/>
        <v>0</v>
      </c>
      <c r="L26" s="53">
        <v>3</v>
      </c>
      <c r="M26" s="55">
        <f t="shared" si="5"/>
        <v>0.15789473684210525</v>
      </c>
      <c r="N26" s="60">
        <f t="shared" si="6"/>
        <v>7.8947368421052627E-2</v>
      </c>
    </row>
    <row r="27" spans="1:14" x14ac:dyDescent="0.3">
      <c r="A27" s="11" t="s">
        <v>25</v>
      </c>
      <c r="B27" s="53">
        <v>0</v>
      </c>
      <c r="C27" s="53">
        <v>0</v>
      </c>
      <c r="D27" s="53">
        <f t="shared" si="0"/>
        <v>0</v>
      </c>
      <c r="E27" s="53">
        <v>0</v>
      </c>
      <c r="F27" s="53">
        <v>0</v>
      </c>
      <c r="G27" s="53"/>
      <c r="H27" s="53">
        <f t="shared" si="1"/>
        <v>0</v>
      </c>
      <c r="I27" s="55">
        <f t="shared" si="2"/>
        <v>0</v>
      </c>
      <c r="J27" s="55">
        <f t="shared" si="3"/>
        <v>0</v>
      </c>
      <c r="K27" s="59">
        <f t="shared" si="4"/>
        <v>0</v>
      </c>
      <c r="L27" s="53">
        <v>1</v>
      </c>
      <c r="M27" s="55">
        <f t="shared" si="5"/>
        <v>5.2631578947368418E-2</v>
      </c>
      <c r="N27" s="60">
        <f t="shared" si="6"/>
        <v>2.6315789473684209E-2</v>
      </c>
    </row>
    <row r="28" spans="1:14" x14ac:dyDescent="0.3">
      <c r="A28" s="11" t="s">
        <v>26</v>
      </c>
      <c r="B28" s="53">
        <v>3</v>
      </c>
      <c r="C28" s="53">
        <v>4</v>
      </c>
      <c r="D28" s="53">
        <f t="shared" si="0"/>
        <v>7</v>
      </c>
      <c r="E28" s="53">
        <v>1</v>
      </c>
      <c r="F28" s="53">
        <v>4</v>
      </c>
      <c r="G28" s="53"/>
      <c r="H28" s="53">
        <f t="shared" si="1"/>
        <v>5</v>
      </c>
      <c r="I28" s="55">
        <f t="shared" si="2"/>
        <v>0.29166666666666669</v>
      </c>
      <c r="J28" s="55">
        <f t="shared" si="3"/>
        <v>0.3125</v>
      </c>
      <c r="K28" s="59">
        <f t="shared" si="4"/>
        <v>0.30625000000000002</v>
      </c>
      <c r="L28" s="53">
        <v>5</v>
      </c>
      <c r="M28" s="55">
        <f t="shared" si="5"/>
        <v>0.26315789473684209</v>
      </c>
      <c r="N28" s="60">
        <f t="shared" si="6"/>
        <v>0.28470394736842108</v>
      </c>
    </row>
    <row r="29" spans="1:14" x14ac:dyDescent="0.3">
      <c r="A29" s="11" t="s">
        <v>27</v>
      </c>
      <c r="B29" s="53">
        <v>0</v>
      </c>
      <c r="C29" s="53">
        <v>0</v>
      </c>
      <c r="D29" s="53">
        <f t="shared" si="0"/>
        <v>0</v>
      </c>
      <c r="E29" s="53">
        <v>0</v>
      </c>
      <c r="F29" s="53">
        <v>0</v>
      </c>
      <c r="G29" s="53"/>
      <c r="H29" s="53">
        <f t="shared" si="1"/>
        <v>0</v>
      </c>
      <c r="I29" s="55">
        <f t="shared" si="2"/>
        <v>0</v>
      </c>
      <c r="J29" s="55">
        <f t="shared" si="3"/>
        <v>0</v>
      </c>
      <c r="K29" s="59">
        <f t="shared" si="4"/>
        <v>0</v>
      </c>
      <c r="L29" s="53">
        <v>2</v>
      </c>
      <c r="M29" s="55">
        <f t="shared" si="5"/>
        <v>0.10526315789473684</v>
      </c>
      <c r="N29" s="60">
        <f t="shared" si="6"/>
        <v>5.2631578947368418E-2</v>
      </c>
    </row>
    <row r="30" spans="1:14" x14ac:dyDescent="0.3">
      <c r="A30" s="11" t="s">
        <v>28</v>
      </c>
      <c r="B30" s="53">
        <v>0</v>
      </c>
      <c r="C30" s="53">
        <v>0</v>
      </c>
      <c r="D30" s="53">
        <f t="shared" si="0"/>
        <v>0</v>
      </c>
      <c r="E30" s="53">
        <v>0</v>
      </c>
      <c r="F30" s="53">
        <v>0</v>
      </c>
      <c r="G30" s="53"/>
      <c r="H30" s="53">
        <f t="shared" si="1"/>
        <v>0</v>
      </c>
      <c r="I30" s="55">
        <f t="shared" si="2"/>
        <v>0</v>
      </c>
      <c r="J30" s="55">
        <f t="shared" si="3"/>
        <v>0</v>
      </c>
      <c r="K30" s="59">
        <f t="shared" si="4"/>
        <v>0</v>
      </c>
      <c r="L30" s="53">
        <v>3</v>
      </c>
      <c r="M30" s="55">
        <f t="shared" si="5"/>
        <v>0.15789473684210525</v>
      </c>
      <c r="N30" s="60">
        <f t="shared" si="6"/>
        <v>7.8947368421052627E-2</v>
      </c>
    </row>
    <row r="31" spans="1:14" x14ac:dyDescent="0.3">
      <c r="A31" s="11" t="s">
        <v>29</v>
      </c>
      <c r="B31" s="53">
        <v>0</v>
      </c>
      <c r="C31" s="53">
        <v>0</v>
      </c>
      <c r="D31" s="53">
        <f t="shared" si="0"/>
        <v>0</v>
      </c>
      <c r="E31" s="53">
        <v>0</v>
      </c>
      <c r="F31" s="53">
        <v>0</v>
      </c>
      <c r="G31" s="53"/>
      <c r="H31" s="53">
        <f t="shared" si="1"/>
        <v>0</v>
      </c>
      <c r="I31" s="55">
        <f t="shared" si="2"/>
        <v>0</v>
      </c>
      <c r="J31" s="55">
        <f t="shared" si="3"/>
        <v>0</v>
      </c>
      <c r="K31" s="59">
        <f t="shared" si="4"/>
        <v>0</v>
      </c>
      <c r="L31" s="53">
        <v>0</v>
      </c>
      <c r="M31" s="55">
        <f t="shared" si="5"/>
        <v>0</v>
      </c>
      <c r="N31" s="60">
        <f t="shared" si="6"/>
        <v>0</v>
      </c>
    </row>
    <row r="32" spans="1:14" x14ac:dyDescent="0.3">
      <c r="A32" s="11" t="s">
        <v>30</v>
      </c>
      <c r="B32" s="53">
        <v>1</v>
      </c>
      <c r="C32" s="53">
        <v>4</v>
      </c>
      <c r="D32" s="53">
        <f t="shared" si="0"/>
        <v>5</v>
      </c>
      <c r="E32" s="53">
        <v>1</v>
      </c>
      <c r="F32" s="53">
        <v>2</v>
      </c>
      <c r="G32" s="53">
        <v>-1</v>
      </c>
      <c r="H32" s="53">
        <f t="shared" si="1"/>
        <v>2</v>
      </c>
      <c r="I32" s="55">
        <f t="shared" si="2"/>
        <v>0.20833333333333334</v>
      </c>
      <c r="J32" s="55">
        <f t="shared" si="3"/>
        <v>0.125</v>
      </c>
      <c r="K32" s="59">
        <f t="shared" si="4"/>
        <v>0.15</v>
      </c>
      <c r="L32" s="53">
        <v>13</v>
      </c>
      <c r="M32" s="55">
        <f t="shared" si="5"/>
        <v>0.68421052631578949</v>
      </c>
      <c r="N32" s="60">
        <f t="shared" si="6"/>
        <v>0.41710526315789476</v>
      </c>
    </row>
    <row r="33" spans="1:14" x14ac:dyDescent="0.3">
      <c r="A33" s="11" t="s">
        <v>31</v>
      </c>
      <c r="B33" s="53">
        <v>0</v>
      </c>
      <c r="C33" s="53">
        <v>0</v>
      </c>
      <c r="D33" s="53">
        <f t="shared" si="0"/>
        <v>0</v>
      </c>
      <c r="E33" s="53">
        <v>0</v>
      </c>
      <c r="F33" s="53">
        <v>0</v>
      </c>
      <c r="G33" s="53"/>
      <c r="H33" s="53">
        <f t="shared" si="1"/>
        <v>0</v>
      </c>
      <c r="I33" s="55">
        <f t="shared" si="2"/>
        <v>0</v>
      </c>
      <c r="J33" s="55">
        <f t="shared" si="3"/>
        <v>0</v>
      </c>
      <c r="K33" s="59">
        <f t="shared" si="4"/>
        <v>0</v>
      </c>
      <c r="L33" s="53">
        <v>2</v>
      </c>
      <c r="M33" s="55">
        <f t="shared" si="5"/>
        <v>0.10526315789473684</v>
      </c>
      <c r="N33" s="60">
        <f t="shared" si="6"/>
        <v>5.2631578947368418E-2</v>
      </c>
    </row>
    <row r="34" spans="1:14" x14ac:dyDescent="0.3">
      <c r="A34" s="11" t="s">
        <v>32</v>
      </c>
      <c r="B34" s="53">
        <v>0</v>
      </c>
      <c r="C34" s="53">
        <v>4</v>
      </c>
      <c r="D34" s="53">
        <f t="shared" ref="D34:D65" si="7">SUM(B34+C34)</f>
        <v>4</v>
      </c>
      <c r="E34" s="53">
        <v>0</v>
      </c>
      <c r="F34" s="53">
        <v>3</v>
      </c>
      <c r="G34" s="53"/>
      <c r="H34" s="53">
        <f t="shared" si="1"/>
        <v>3</v>
      </c>
      <c r="I34" s="55">
        <f t="shared" si="2"/>
        <v>0.16666666666666666</v>
      </c>
      <c r="J34" s="55">
        <f t="shared" si="3"/>
        <v>0.1875</v>
      </c>
      <c r="K34" s="59">
        <f t="shared" si="4"/>
        <v>0.18124999999999997</v>
      </c>
      <c r="L34" s="53">
        <v>10</v>
      </c>
      <c r="M34" s="55">
        <f t="shared" si="5"/>
        <v>0.52631578947368418</v>
      </c>
      <c r="N34" s="60">
        <f t="shared" si="6"/>
        <v>0.3537828947368421</v>
      </c>
    </row>
    <row r="35" spans="1:14" x14ac:dyDescent="0.3">
      <c r="A35" s="11" t="s">
        <v>33</v>
      </c>
      <c r="B35" s="53">
        <v>0</v>
      </c>
      <c r="C35" s="53">
        <v>2</v>
      </c>
      <c r="D35" s="53">
        <f t="shared" si="7"/>
        <v>2</v>
      </c>
      <c r="E35" s="53">
        <v>0</v>
      </c>
      <c r="F35" s="53">
        <v>2</v>
      </c>
      <c r="G35" s="53"/>
      <c r="H35" s="53">
        <f t="shared" si="1"/>
        <v>2</v>
      </c>
      <c r="I35" s="55">
        <f t="shared" si="2"/>
        <v>8.3333333333333329E-2</v>
      </c>
      <c r="J35" s="55">
        <f t="shared" si="3"/>
        <v>0.125</v>
      </c>
      <c r="K35" s="59">
        <f t="shared" si="4"/>
        <v>0.11249999999999999</v>
      </c>
      <c r="L35" s="53">
        <v>3</v>
      </c>
      <c r="M35" s="55">
        <f t="shared" si="5"/>
        <v>0.15789473684210525</v>
      </c>
      <c r="N35" s="60">
        <f t="shared" si="6"/>
        <v>0.13519736842105262</v>
      </c>
    </row>
    <row r="36" spans="1:14" x14ac:dyDescent="0.3">
      <c r="A36" s="11" t="s">
        <v>34</v>
      </c>
      <c r="B36" s="53">
        <v>0</v>
      </c>
      <c r="C36" s="53">
        <v>1</v>
      </c>
      <c r="D36" s="53">
        <f t="shared" si="7"/>
        <v>1</v>
      </c>
      <c r="E36" s="53">
        <v>0</v>
      </c>
      <c r="F36" s="53">
        <v>1</v>
      </c>
      <c r="G36" s="53"/>
      <c r="H36" s="53">
        <f t="shared" si="1"/>
        <v>1</v>
      </c>
      <c r="I36" s="55">
        <f t="shared" si="2"/>
        <v>4.1666666666666664E-2</v>
      </c>
      <c r="J36" s="55">
        <f t="shared" si="3"/>
        <v>6.25E-2</v>
      </c>
      <c r="K36" s="59">
        <f t="shared" si="4"/>
        <v>5.6249999999999994E-2</v>
      </c>
      <c r="L36" s="53">
        <v>0</v>
      </c>
      <c r="M36" s="55">
        <f t="shared" si="5"/>
        <v>0</v>
      </c>
      <c r="N36" s="60">
        <f t="shared" si="6"/>
        <v>2.8124999999999997E-2</v>
      </c>
    </row>
    <row r="37" spans="1:14" x14ac:dyDescent="0.3">
      <c r="A37" s="11" t="s">
        <v>35</v>
      </c>
      <c r="B37" s="53">
        <v>4</v>
      </c>
      <c r="C37" s="53">
        <v>4</v>
      </c>
      <c r="D37" s="53">
        <f t="shared" si="7"/>
        <v>8</v>
      </c>
      <c r="E37" s="53">
        <v>2</v>
      </c>
      <c r="F37" s="53">
        <v>2</v>
      </c>
      <c r="G37" s="53">
        <v>-1</v>
      </c>
      <c r="H37" s="53">
        <f t="shared" si="1"/>
        <v>3</v>
      </c>
      <c r="I37" s="55">
        <f t="shared" si="2"/>
        <v>0.33333333333333331</v>
      </c>
      <c r="J37" s="55">
        <f t="shared" si="3"/>
        <v>0.1875</v>
      </c>
      <c r="K37" s="59">
        <f t="shared" si="4"/>
        <v>0.23124999999999996</v>
      </c>
      <c r="L37" s="53">
        <v>5</v>
      </c>
      <c r="M37" s="55">
        <f t="shared" si="5"/>
        <v>0.26315789473684209</v>
      </c>
      <c r="N37" s="60">
        <f t="shared" si="6"/>
        <v>0.24720394736842102</v>
      </c>
    </row>
    <row r="38" spans="1:14" x14ac:dyDescent="0.3">
      <c r="A38" s="11" t="s">
        <v>36</v>
      </c>
      <c r="B38" s="53">
        <v>2</v>
      </c>
      <c r="C38" s="53">
        <v>3</v>
      </c>
      <c r="D38" s="53">
        <f t="shared" si="7"/>
        <v>5</v>
      </c>
      <c r="E38" s="53">
        <v>2</v>
      </c>
      <c r="F38" s="53">
        <v>3</v>
      </c>
      <c r="G38" s="53"/>
      <c r="H38" s="53">
        <f t="shared" si="1"/>
        <v>5</v>
      </c>
      <c r="I38" s="55">
        <f t="shared" si="2"/>
        <v>0.20833333333333334</v>
      </c>
      <c r="J38" s="55">
        <f t="shared" si="3"/>
        <v>0.3125</v>
      </c>
      <c r="K38" s="59">
        <f t="shared" si="4"/>
        <v>0.28125</v>
      </c>
      <c r="L38" s="53">
        <v>0</v>
      </c>
      <c r="M38" s="55">
        <f t="shared" si="5"/>
        <v>0</v>
      </c>
      <c r="N38" s="60">
        <f t="shared" si="6"/>
        <v>0.140625</v>
      </c>
    </row>
    <row r="39" spans="1:14" x14ac:dyDescent="0.3">
      <c r="A39" s="11" t="s">
        <v>37</v>
      </c>
      <c r="B39" s="53">
        <v>0</v>
      </c>
      <c r="C39" s="53">
        <v>1</v>
      </c>
      <c r="D39" s="53">
        <f t="shared" si="7"/>
        <v>1</v>
      </c>
      <c r="E39" s="53">
        <v>0</v>
      </c>
      <c r="F39" s="53">
        <v>1</v>
      </c>
      <c r="G39" s="53"/>
      <c r="H39" s="53">
        <f t="shared" si="1"/>
        <v>1</v>
      </c>
      <c r="I39" s="55">
        <f t="shared" si="2"/>
        <v>4.1666666666666664E-2</v>
      </c>
      <c r="J39" s="55">
        <f t="shared" si="3"/>
        <v>6.25E-2</v>
      </c>
      <c r="K39" s="59">
        <f t="shared" si="4"/>
        <v>5.6249999999999994E-2</v>
      </c>
      <c r="L39" s="53">
        <v>3</v>
      </c>
      <c r="M39" s="55">
        <f t="shared" si="5"/>
        <v>0.15789473684210525</v>
      </c>
      <c r="N39" s="60">
        <f t="shared" si="6"/>
        <v>0.10707236842105262</v>
      </c>
    </row>
    <row r="40" spans="1:14" x14ac:dyDescent="0.3">
      <c r="A40" s="11" t="s">
        <v>38</v>
      </c>
      <c r="B40" s="53">
        <v>0</v>
      </c>
      <c r="C40" s="53">
        <v>0</v>
      </c>
      <c r="D40" s="53">
        <f t="shared" si="7"/>
        <v>0</v>
      </c>
      <c r="E40" s="53">
        <v>0</v>
      </c>
      <c r="F40" s="53">
        <v>0</v>
      </c>
      <c r="G40" s="53"/>
      <c r="H40" s="53">
        <f t="shared" si="1"/>
        <v>0</v>
      </c>
      <c r="I40" s="55">
        <f t="shared" si="2"/>
        <v>0</v>
      </c>
      <c r="J40" s="55">
        <f t="shared" si="3"/>
        <v>0</v>
      </c>
      <c r="K40" s="59">
        <f t="shared" si="4"/>
        <v>0</v>
      </c>
      <c r="L40" s="53">
        <v>0</v>
      </c>
      <c r="M40" s="55">
        <f t="shared" si="5"/>
        <v>0</v>
      </c>
      <c r="N40" s="60">
        <f t="shared" si="6"/>
        <v>0</v>
      </c>
    </row>
    <row r="41" spans="1:14" x14ac:dyDescent="0.3">
      <c r="A41" s="11" t="s">
        <v>39</v>
      </c>
      <c r="B41" s="53">
        <v>6</v>
      </c>
      <c r="C41" s="53">
        <v>4</v>
      </c>
      <c r="D41" s="53">
        <f t="shared" si="7"/>
        <v>10</v>
      </c>
      <c r="E41" s="53">
        <v>4</v>
      </c>
      <c r="F41" s="53">
        <v>2</v>
      </c>
      <c r="G41" s="53">
        <v>-1</v>
      </c>
      <c r="H41" s="53">
        <f t="shared" si="1"/>
        <v>5</v>
      </c>
      <c r="I41" s="55">
        <f t="shared" si="2"/>
        <v>0.41666666666666669</v>
      </c>
      <c r="J41" s="55">
        <f t="shared" si="3"/>
        <v>0.3125</v>
      </c>
      <c r="K41" s="59">
        <f t="shared" si="4"/>
        <v>0.34375</v>
      </c>
      <c r="L41" s="53">
        <v>0</v>
      </c>
      <c r="M41" s="55">
        <f t="shared" si="5"/>
        <v>0</v>
      </c>
      <c r="N41" s="60">
        <f t="shared" si="6"/>
        <v>0.171875</v>
      </c>
    </row>
    <row r="42" spans="1:14" x14ac:dyDescent="0.3">
      <c r="A42" s="11" t="s">
        <v>40</v>
      </c>
      <c r="B42" s="53">
        <v>0</v>
      </c>
      <c r="C42" s="53">
        <v>1</v>
      </c>
      <c r="D42" s="53">
        <f t="shared" si="7"/>
        <v>1</v>
      </c>
      <c r="E42" s="53">
        <v>0</v>
      </c>
      <c r="F42" s="53">
        <v>1</v>
      </c>
      <c r="G42" s="53"/>
      <c r="H42" s="53">
        <f t="shared" si="1"/>
        <v>1</v>
      </c>
      <c r="I42" s="55">
        <f t="shared" si="2"/>
        <v>4.1666666666666664E-2</v>
      </c>
      <c r="J42" s="55">
        <f t="shared" si="3"/>
        <v>6.25E-2</v>
      </c>
      <c r="K42" s="59">
        <f t="shared" si="4"/>
        <v>5.6249999999999994E-2</v>
      </c>
      <c r="L42" s="53">
        <v>1</v>
      </c>
      <c r="M42" s="55">
        <f t="shared" si="5"/>
        <v>5.2631578947368418E-2</v>
      </c>
      <c r="N42" s="60">
        <f t="shared" si="6"/>
        <v>5.4440789473684206E-2</v>
      </c>
    </row>
    <row r="43" spans="1:14" x14ac:dyDescent="0.3">
      <c r="A43" s="11" t="s">
        <v>41</v>
      </c>
      <c r="B43" s="53">
        <v>0</v>
      </c>
      <c r="C43" s="53">
        <v>0</v>
      </c>
      <c r="D43" s="53">
        <f t="shared" si="7"/>
        <v>0</v>
      </c>
      <c r="E43" s="53">
        <v>0</v>
      </c>
      <c r="F43" s="53">
        <v>0</v>
      </c>
      <c r="G43" s="53"/>
      <c r="H43" s="53">
        <f t="shared" si="1"/>
        <v>0</v>
      </c>
      <c r="I43" s="55">
        <f t="shared" si="2"/>
        <v>0</v>
      </c>
      <c r="J43" s="55">
        <f t="shared" si="3"/>
        <v>0</v>
      </c>
      <c r="K43" s="59">
        <f t="shared" si="4"/>
        <v>0</v>
      </c>
      <c r="L43" s="53">
        <v>0</v>
      </c>
      <c r="M43" s="55">
        <f t="shared" si="5"/>
        <v>0</v>
      </c>
      <c r="N43" s="60">
        <f t="shared" si="6"/>
        <v>0</v>
      </c>
    </row>
    <row r="44" spans="1:14" x14ac:dyDescent="0.3">
      <c r="A44" s="11" t="s">
        <v>42</v>
      </c>
      <c r="B44" s="53">
        <v>0</v>
      </c>
      <c r="C44" s="53">
        <v>0</v>
      </c>
      <c r="D44" s="53">
        <f t="shared" si="7"/>
        <v>0</v>
      </c>
      <c r="E44" s="53">
        <v>0</v>
      </c>
      <c r="F44" s="53">
        <v>0</v>
      </c>
      <c r="G44" s="53"/>
      <c r="H44" s="53">
        <f t="shared" si="1"/>
        <v>0</v>
      </c>
      <c r="I44" s="55">
        <f t="shared" si="2"/>
        <v>0</v>
      </c>
      <c r="J44" s="55">
        <f t="shared" si="3"/>
        <v>0</v>
      </c>
      <c r="K44" s="59">
        <f t="shared" si="4"/>
        <v>0</v>
      </c>
      <c r="L44" s="53">
        <v>0</v>
      </c>
      <c r="M44" s="55">
        <f t="shared" si="5"/>
        <v>0</v>
      </c>
      <c r="N44" s="60">
        <f t="shared" si="6"/>
        <v>0</v>
      </c>
    </row>
    <row r="45" spans="1:14" x14ac:dyDescent="0.3">
      <c r="A45" s="11" t="s">
        <v>43</v>
      </c>
      <c r="B45" s="53">
        <v>0</v>
      </c>
      <c r="C45" s="53">
        <v>1</v>
      </c>
      <c r="D45" s="53">
        <f t="shared" si="7"/>
        <v>1</v>
      </c>
      <c r="E45" s="53">
        <v>0</v>
      </c>
      <c r="F45" s="53">
        <v>1</v>
      </c>
      <c r="G45" s="53"/>
      <c r="H45" s="53">
        <f t="shared" si="1"/>
        <v>1</v>
      </c>
      <c r="I45" s="55">
        <f t="shared" si="2"/>
        <v>4.1666666666666664E-2</v>
      </c>
      <c r="J45" s="55">
        <f t="shared" si="3"/>
        <v>6.25E-2</v>
      </c>
      <c r="K45" s="59">
        <f t="shared" si="4"/>
        <v>5.6249999999999994E-2</v>
      </c>
      <c r="L45" s="53">
        <v>2</v>
      </c>
      <c r="M45" s="55">
        <f t="shared" si="5"/>
        <v>0.10526315789473684</v>
      </c>
      <c r="N45" s="60">
        <f t="shared" si="6"/>
        <v>8.0756578947368415E-2</v>
      </c>
    </row>
    <row r="46" spans="1:14" x14ac:dyDescent="0.3">
      <c r="A46" s="11" t="s">
        <v>44</v>
      </c>
      <c r="B46" s="53">
        <v>2</v>
      </c>
      <c r="C46" s="53">
        <v>5</v>
      </c>
      <c r="D46" s="53">
        <f t="shared" si="7"/>
        <v>7</v>
      </c>
      <c r="E46" s="53">
        <v>2</v>
      </c>
      <c r="F46" s="53">
        <v>2</v>
      </c>
      <c r="G46" s="53"/>
      <c r="H46" s="53">
        <f t="shared" si="1"/>
        <v>4</v>
      </c>
      <c r="I46" s="55">
        <f t="shared" si="2"/>
        <v>0.29166666666666669</v>
      </c>
      <c r="J46" s="55">
        <f t="shared" si="3"/>
        <v>0.25</v>
      </c>
      <c r="K46" s="59">
        <f t="shared" si="4"/>
        <v>0.26250000000000001</v>
      </c>
      <c r="L46" s="53">
        <v>2</v>
      </c>
      <c r="M46" s="55">
        <f t="shared" si="5"/>
        <v>0.10526315789473684</v>
      </c>
      <c r="N46" s="60">
        <f t="shared" si="6"/>
        <v>0.18388157894736842</v>
      </c>
    </row>
    <row r="47" spans="1:14" x14ac:dyDescent="0.3">
      <c r="A47" s="11" t="s">
        <v>45</v>
      </c>
      <c r="B47" s="53">
        <v>0</v>
      </c>
      <c r="C47" s="53">
        <v>0</v>
      </c>
      <c r="D47" s="53">
        <f t="shared" si="7"/>
        <v>0</v>
      </c>
      <c r="E47" s="53">
        <v>0</v>
      </c>
      <c r="F47" s="53">
        <v>0</v>
      </c>
      <c r="G47" s="53"/>
      <c r="H47" s="53">
        <f t="shared" si="1"/>
        <v>0</v>
      </c>
      <c r="I47" s="55">
        <f t="shared" si="2"/>
        <v>0</v>
      </c>
      <c r="J47" s="55">
        <f t="shared" si="3"/>
        <v>0</v>
      </c>
      <c r="K47" s="59">
        <f t="shared" si="4"/>
        <v>0</v>
      </c>
      <c r="L47" s="53">
        <v>1</v>
      </c>
      <c r="M47" s="55">
        <f t="shared" si="5"/>
        <v>5.2631578947368418E-2</v>
      </c>
      <c r="N47" s="60">
        <f t="shared" si="6"/>
        <v>2.6315789473684209E-2</v>
      </c>
    </row>
    <row r="48" spans="1:14" x14ac:dyDescent="0.3">
      <c r="A48" s="11" t="s">
        <v>46</v>
      </c>
      <c r="B48" s="53">
        <v>0</v>
      </c>
      <c r="C48" s="53">
        <v>0</v>
      </c>
      <c r="D48" s="53">
        <f t="shared" si="7"/>
        <v>0</v>
      </c>
      <c r="E48" s="53">
        <v>0</v>
      </c>
      <c r="F48" s="53">
        <v>0</v>
      </c>
      <c r="G48" s="53"/>
      <c r="H48" s="53">
        <f t="shared" si="1"/>
        <v>0</v>
      </c>
      <c r="I48" s="55">
        <f t="shared" si="2"/>
        <v>0</v>
      </c>
      <c r="J48" s="55">
        <f t="shared" si="3"/>
        <v>0</v>
      </c>
      <c r="K48" s="59">
        <f t="shared" si="4"/>
        <v>0</v>
      </c>
      <c r="L48" s="53">
        <v>0</v>
      </c>
      <c r="M48" s="55">
        <f t="shared" si="5"/>
        <v>0</v>
      </c>
      <c r="N48" s="60">
        <f t="shared" si="6"/>
        <v>0</v>
      </c>
    </row>
    <row r="49" spans="1:14" x14ac:dyDescent="0.3">
      <c r="A49" s="11" t="s">
        <v>47</v>
      </c>
      <c r="B49" s="53">
        <v>0</v>
      </c>
      <c r="C49" s="53">
        <v>2</v>
      </c>
      <c r="D49" s="53">
        <f t="shared" si="7"/>
        <v>2</v>
      </c>
      <c r="E49" s="53">
        <v>0</v>
      </c>
      <c r="F49" s="53">
        <v>2</v>
      </c>
      <c r="G49" s="53"/>
      <c r="H49" s="53">
        <f t="shared" si="1"/>
        <v>2</v>
      </c>
      <c r="I49" s="55">
        <f t="shared" si="2"/>
        <v>8.3333333333333329E-2</v>
      </c>
      <c r="J49" s="55">
        <f t="shared" si="3"/>
        <v>0.125</v>
      </c>
      <c r="K49" s="59">
        <f t="shared" si="4"/>
        <v>0.11249999999999999</v>
      </c>
      <c r="L49" s="53">
        <v>1</v>
      </c>
      <c r="M49" s="55">
        <f t="shared" si="5"/>
        <v>5.2631578947368418E-2</v>
      </c>
      <c r="N49" s="60">
        <f t="shared" si="6"/>
        <v>8.2565789473684204E-2</v>
      </c>
    </row>
    <row r="50" spans="1:14" x14ac:dyDescent="0.3">
      <c r="A50" s="11" t="s">
        <v>48</v>
      </c>
      <c r="B50" s="53">
        <v>0</v>
      </c>
      <c r="C50" s="53">
        <v>0</v>
      </c>
      <c r="D50" s="53">
        <f t="shared" si="7"/>
        <v>0</v>
      </c>
      <c r="E50" s="53">
        <v>0</v>
      </c>
      <c r="F50" s="53">
        <v>0</v>
      </c>
      <c r="G50" s="53"/>
      <c r="H50" s="53">
        <f t="shared" si="1"/>
        <v>0</v>
      </c>
      <c r="I50" s="55">
        <f t="shared" si="2"/>
        <v>0</v>
      </c>
      <c r="J50" s="55">
        <f t="shared" si="3"/>
        <v>0</v>
      </c>
      <c r="K50" s="59">
        <f t="shared" si="4"/>
        <v>0</v>
      </c>
      <c r="L50" s="53">
        <v>2</v>
      </c>
      <c r="M50" s="55">
        <f t="shared" si="5"/>
        <v>0.10526315789473684</v>
      </c>
      <c r="N50" s="60">
        <f t="shared" si="6"/>
        <v>5.2631578947368418E-2</v>
      </c>
    </row>
    <row r="51" spans="1:14" x14ac:dyDescent="0.3">
      <c r="A51" s="11" t="s">
        <v>49</v>
      </c>
      <c r="B51" s="53">
        <v>0</v>
      </c>
      <c r="C51" s="53">
        <v>1</v>
      </c>
      <c r="D51" s="53">
        <f t="shared" si="7"/>
        <v>1</v>
      </c>
      <c r="E51" s="53">
        <v>0</v>
      </c>
      <c r="F51" s="53">
        <v>1</v>
      </c>
      <c r="G51" s="53"/>
      <c r="H51" s="53">
        <f t="shared" si="1"/>
        <v>1</v>
      </c>
      <c r="I51" s="55">
        <f t="shared" si="2"/>
        <v>4.1666666666666664E-2</v>
      </c>
      <c r="J51" s="55">
        <f t="shared" si="3"/>
        <v>6.25E-2</v>
      </c>
      <c r="K51" s="59">
        <f t="shared" si="4"/>
        <v>5.6249999999999994E-2</v>
      </c>
      <c r="L51" s="53">
        <v>2</v>
      </c>
      <c r="M51" s="55">
        <f t="shared" si="5"/>
        <v>0.10526315789473684</v>
      </c>
      <c r="N51" s="60">
        <f t="shared" si="6"/>
        <v>8.0756578947368415E-2</v>
      </c>
    </row>
    <row r="52" spans="1:14" x14ac:dyDescent="0.3">
      <c r="A52" s="11" t="s">
        <v>50</v>
      </c>
      <c r="B52" s="53">
        <v>0</v>
      </c>
      <c r="C52" s="53">
        <v>0</v>
      </c>
      <c r="D52" s="53">
        <f t="shared" si="7"/>
        <v>0</v>
      </c>
      <c r="E52" s="53">
        <v>0</v>
      </c>
      <c r="F52" s="53">
        <v>0</v>
      </c>
      <c r="G52" s="53"/>
      <c r="H52" s="53">
        <f t="shared" si="1"/>
        <v>0</v>
      </c>
      <c r="I52" s="55">
        <f t="shared" si="2"/>
        <v>0</v>
      </c>
      <c r="J52" s="55">
        <f t="shared" si="3"/>
        <v>0</v>
      </c>
      <c r="K52" s="59">
        <f t="shared" si="4"/>
        <v>0</v>
      </c>
      <c r="L52" s="53">
        <v>1</v>
      </c>
      <c r="M52" s="55">
        <f t="shared" si="5"/>
        <v>5.2631578947368418E-2</v>
      </c>
      <c r="N52" s="60">
        <f t="shared" si="6"/>
        <v>2.6315789473684209E-2</v>
      </c>
    </row>
    <row r="53" spans="1:14" x14ac:dyDescent="0.3">
      <c r="A53" s="11" t="s">
        <v>51</v>
      </c>
      <c r="B53" s="53">
        <v>0</v>
      </c>
      <c r="C53" s="53">
        <v>2</v>
      </c>
      <c r="D53" s="53">
        <f t="shared" si="7"/>
        <v>2</v>
      </c>
      <c r="E53" s="53">
        <v>0</v>
      </c>
      <c r="F53" s="53">
        <v>2</v>
      </c>
      <c r="G53" s="53"/>
      <c r="H53" s="53">
        <f t="shared" si="1"/>
        <v>2</v>
      </c>
      <c r="I53" s="55">
        <f t="shared" si="2"/>
        <v>8.3333333333333329E-2</v>
      </c>
      <c r="J53" s="55">
        <f t="shared" si="3"/>
        <v>0.125</v>
      </c>
      <c r="K53" s="59">
        <f t="shared" si="4"/>
        <v>0.11249999999999999</v>
      </c>
      <c r="L53" s="53">
        <v>0</v>
      </c>
      <c r="M53" s="55">
        <f t="shared" si="5"/>
        <v>0</v>
      </c>
      <c r="N53" s="60">
        <f t="shared" si="6"/>
        <v>5.6249999999999994E-2</v>
      </c>
    </row>
    <row r="54" spans="1:14" x14ac:dyDescent="0.3">
      <c r="A54" s="11" t="s">
        <v>52</v>
      </c>
      <c r="B54" s="53">
        <v>0</v>
      </c>
      <c r="C54" s="53">
        <v>0</v>
      </c>
      <c r="D54" s="53">
        <f t="shared" si="7"/>
        <v>0</v>
      </c>
      <c r="E54" s="53">
        <v>0</v>
      </c>
      <c r="F54" s="53">
        <v>0</v>
      </c>
      <c r="G54" s="53"/>
      <c r="H54" s="53">
        <f t="shared" si="1"/>
        <v>0</v>
      </c>
      <c r="I54" s="55">
        <f t="shared" si="2"/>
        <v>0</v>
      </c>
      <c r="J54" s="55">
        <f t="shared" si="3"/>
        <v>0</v>
      </c>
      <c r="K54" s="59">
        <f t="shared" si="4"/>
        <v>0</v>
      </c>
      <c r="L54" s="53">
        <v>1</v>
      </c>
      <c r="M54" s="55">
        <f t="shared" si="5"/>
        <v>5.2631578947368418E-2</v>
      </c>
      <c r="N54" s="60">
        <f t="shared" si="6"/>
        <v>2.6315789473684209E-2</v>
      </c>
    </row>
    <row r="55" spans="1:14" x14ac:dyDescent="0.3">
      <c r="A55" s="11" t="s">
        <v>53</v>
      </c>
      <c r="B55" s="53">
        <v>1</v>
      </c>
      <c r="C55" s="53">
        <v>1</v>
      </c>
      <c r="D55" s="53">
        <f t="shared" si="7"/>
        <v>2</v>
      </c>
      <c r="E55" s="53">
        <v>1</v>
      </c>
      <c r="F55" s="53">
        <v>1</v>
      </c>
      <c r="G55" s="53"/>
      <c r="H55" s="53">
        <f t="shared" si="1"/>
        <v>2</v>
      </c>
      <c r="I55" s="55">
        <f t="shared" si="2"/>
        <v>8.3333333333333329E-2</v>
      </c>
      <c r="J55" s="55">
        <f t="shared" si="3"/>
        <v>0.125</v>
      </c>
      <c r="K55" s="59">
        <f t="shared" si="4"/>
        <v>0.11249999999999999</v>
      </c>
      <c r="L55" s="53">
        <v>2</v>
      </c>
      <c r="M55" s="55">
        <f t="shared" si="5"/>
        <v>0.10526315789473684</v>
      </c>
      <c r="N55" s="60">
        <f t="shared" si="6"/>
        <v>0.10888157894736841</v>
      </c>
    </row>
    <row r="56" spans="1:14" x14ac:dyDescent="0.3">
      <c r="A56" s="11" t="s">
        <v>54</v>
      </c>
      <c r="B56" s="53">
        <v>4</v>
      </c>
      <c r="C56" s="53">
        <v>3</v>
      </c>
      <c r="D56" s="53">
        <f t="shared" si="7"/>
        <v>7</v>
      </c>
      <c r="E56" s="53">
        <v>3</v>
      </c>
      <c r="F56" s="53">
        <v>3</v>
      </c>
      <c r="G56" s="53">
        <v>-1</v>
      </c>
      <c r="H56" s="53">
        <f t="shared" si="1"/>
        <v>5</v>
      </c>
      <c r="I56" s="55">
        <f t="shared" si="2"/>
        <v>0.29166666666666669</v>
      </c>
      <c r="J56" s="55">
        <f t="shared" si="3"/>
        <v>0.3125</v>
      </c>
      <c r="K56" s="59">
        <f t="shared" si="4"/>
        <v>0.30625000000000002</v>
      </c>
      <c r="L56" s="53">
        <v>4</v>
      </c>
      <c r="M56" s="55">
        <f t="shared" si="5"/>
        <v>0.21052631578947367</v>
      </c>
      <c r="N56" s="60">
        <f t="shared" si="6"/>
        <v>0.25838815789473685</v>
      </c>
    </row>
    <row r="57" spans="1:14" x14ac:dyDescent="0.3">
      <c r="A57" s="11" t="s">
        <v>55</v>
      </c>
      <c r="B57" s="53">
        <v>2</v>
      </c>
      <c r="C57" s="53">
        <v>4</v>
      </c>
      <c r="D57" s="53">
        <f t="shared" si="7"/>
        <v>6</v>
      </c>
      <c r="E57" s="53">
        <v>1</v>
      </c>
      <c r="F57" s="53">
        <v>3</v>
      </c>
      <c r="G57" s="53">
        <v>-1</v>
      </c>
      <c r="H57" s="53">
        <f t="shared" si="1"/>
        <v>3</v>
      </c>
      <c r="I57" s="55">
        <f t="shared" si="2"/>
        <v>0.25</v>
      </c>
      <c r="J57" s="55">
        <f t="shared" si="3"/>
        <v>0.1875</v>
      </c>
      <c r="K57" s="59">
        <f t="shared" si="4"/>
        <v>0.20624999999999999</v>
      </c>
      <c r="L57" s="53">
        <v>4</v>
      </c>
      <c r="M57" s="55">
        <f t="shared" si="5"/>
        <v>0.21052631578947367</v>
      </c>
      <c r="N57" s="60">
        <f t="shared" si="6"/>
        <v>0.20838815789473683</v>
      </c>
    </row>
    <row r="58" spans="1:14" x14ac:dyDescent="0.3">
      <c r="A58" s="11" t="s">
        <v>56</v>
      </c>
      <c r="B58" s="53">
        <v>0</v>
      </c>
      <c r="C58" s="53">
        <v>1</v>
      </c>
      <c r="D58" s="53">
        <f t="shared" si="7"/>
        <v>1</v>
      </c>
      <c r="E58" s="53">
        <v>0</v>
      </c>
      <c r="F58" s="53">
        <v>1</v>
      </c>
      <c r="G58" s="53"/>
      <c r="H58" s="53">
        <f t="shared" si="1"/>
        <v>1</v>
      </c>
      <c r="I58" s="55">
        <f t="shared" si="2"/>
        <v>4.1666666666666664E-2</v>
      </c>
      <c r="J58" s="55">
        <f t="shared" si="3"/>
        <v>6.25E-2</v>
      </c>
      <c r="K58" s="59">
        <f t="shared" si="4"/>
        <v>5.6249999999999994E-2</v>
      </c>
      <c r="L58" s="53">
        <v>1</v>
      </c>
      <c r="M58" s="55">
        <f t="shared" si="5"/>
        <v>5.2631578947368418E-2</v>
      </c>
      <c r="N58" s="60">
        <f t="shared" si="6"/>
        <v>5.4440789473684206E-2</v>
      </c>
    </row>
    <row r="59" spans="1:14" x14ac:dyDescent="0.3">
      <c r="A59" s="11" t="s">
        <v>57</v>
      </c>
      <c r="B59" s="53">
        <v>0</v>
      </c>
      <c r="C59" s="53">
        <v>0</v>
      </c>
      <c r="D59" s="53">
        <f t="shared" si="7"/>
        <v>0</v>
      </c>
      <c r="E59" s="53">
        <v>0</v>
      </c>
      <c r="F59" s="53">
        <v>0</v>
      </c>
      <c r="G59" s="53"/>
      <c r="H59" s="53">
        <f t="shared" si="1"/>
        <v>0</v>
      </c>
      <c r="I59" s="55">
        <f t="shared" si="2"/>
        <v>0</v>
      </c>
      <c r="J59" s="55">
        <f t="shared" si="3"/>
        <v>0</v>
      </c>
      <c r="K59" s="59">
        <f t="shared" si="4"/>
        <v>0</v>
      </c>
      <c r="L59" s="53">
        <v>2</v>
      </c>
      <c r="M59" s="55">
        <f t="shared" si="5"/>
        <v>0.10526315789473684</v>
      </c>
      <c r="N59" s="60">
        <f t="shared" si="6"/>
        <v>5.2631578947368418E-2</v>
      </c>
    </row>
    <row r="60" spans="1:14" x14ac:dyDescent="0.3">
      <c r="A60" s="11" t="s">
        <v>58</v>
      </c>
      <c r="B60" s="53">
        <v>0</v>
      </c>
      <c r="C60" s="53">
        <v>0</v>
      </c>
      <c r="D60" s="53">
        <f t="shared" si="7"/>
        <v>0</v>
      </c>
      <c r="E60" s="53">
        <v>0</v>
      </c>
      <c r="F60" s="53">
        <v>0</v>
      </c>
      <c r="G60" s="53"/>
      <c r="H60" s="53">
        <f t="shared" si="1"/>
        <v>0</v>
      </c>
      <c r="I60" s="55">
        <f t="shared" si="2"/>
        <v>0</v>
      </c>
      <c r="J60" s="55">
        <f t="shared" si="3"/>
        <v>0</v>
      </c>
      <c r="K60" s="59">
        <f t="shared" si="4"/>
        <v>0</v>
      </c>
      <c r="L60" s="53">
        <v>0</v>
      </c>
      <c r="M60" s="55">
        <f t="shared" si="5"/>
        <v>0</v>
      </c>
      <c r="N60" s="60">
        <f t="shared" si="6"/>
        <v>0</v>
      </c>
    </row>
    <row r="61" spans="1:14" x14ac:dyDescent="0.3">
      <c r="A61" s="11" t="s">
        <v>59</v>
      </c>
      <c r="B61" s="53">
        <v>0</v>
      </c>
      <c r="C61" s="53">
        <v>5</v>
      </c>
      <c r="D61" s="53">
        <f t="shared" si="7"/>
        <v>5</v>
      </c>
      <c r="E61" s="53">
        <v>0</v>
      </c>
      <c r="F61" s="53">
        <v>2</v>
      </c>
      <c r="G61" s="53"/>
      <c r="H61" s="53">
        <f t="shared" si="1"/>
        <v>2</v>
      </c>
      <c r="I61" s="55">
        <f t="shared" si="2"/>
        <v>0.20833333333333334</v>
      </c>
      <c r="J61" s="55">
        <f t="shared" si="3"/>
        <v>0.125</v>
      </c>
      <c r="K61" s="59">
        <f t="shared" si="4"/>
        <v>0.15</v>
      </c>
      <c r="L61" s="53">
        <v>2</v>
      </c>
      <c r="M61" s="55">
        <f t="shared" si="5"/>
        <v>0.10526315789473684</v>
      </c>
      <c r="N61" s="60">
        <f t="shared" si="6"/>
        <v>0.12763157894736843</v>
      </c>
    </row>
    <row r="62" spans="1:14" x14ac:dyDescent="0.3">
      <c r="A62" s="50" t="s">
        <v>502</v>
      </c>
      <c r="B62" s="51"/>
      <c r="C62" s="51"/>
      <c r="D62" s="50">
        <f>MAX(D2:D61)</f>
        <v>24</v>
      </c>
      <c r="E62" s="51"/>
      <c r="F62" s="51"/>
      <c r="G62" s="51"/>
      <c r="H62" s="50">
        <f>MAX(H2:H61)</f>
        <v>16</v>
      </c>
      <c r="L62" s="1">
        <f>MAX(L2:L61)</f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1B53-99F4-4B5D-ADB7-4C3C45AEDEC0}">
  <dimension ref="A1:D62"/>
  <sheetViews>
    <sheetView zoomScaleNormal="100" workbookViewId="0">
      <selection activeCell="A35" sqref="A35"/>
    </sheetView>
  </sheetViews>
  <sheetFormatPr defaultRowHeight="14.4" x14ac:dyDescent="0.3"/>
  <cols>
    <col min="1" max="1" width="18.77734375" customWidth="1"/>
    <col min="2" max="2" width="18.44140625" style="56" customWidth="1"/>
    <col min="3" max="3" width="19.109375" customWidth="1"/>
    <col min="4" max="4" width="6.33203125" customWidth="1"/>
  </cols>
  <sheetData>
    <row r="1" spans="1:4" x14ac:dyDescent="0.3">
      <c r="A1" s="10" t="s">
        <v>67</v>
      </c>
      <c r="B1" s="23" t="s">
        <v>509</v>
      </c>
      <c r="C1" s="23" t="s">
        <v>557</v>
      </c>
      <c r="D1" s="23" t="s">
        <v>558</v>
      </c>
    </row>
    <row r="2" spans="1:4" x14ac:dyDescent="0.3">
      <c r="A2" s="11" t="s">
        <v>0</v>
      </c>
      <c r="B2" s="54">
        <v>4810</v>
      </c>
      <c r="C2" s="11">
        <v>32.5</v>
      </c>
      <c r="D2" s="58">
        <f>(0.5*(B2/$B$62))+(0.5*(C2/$C$62))</f>
        <v>0.49230130581679798</v>
      </c>
    </row>
    <row r="3" spans="1:4" x14ac:dyDescent="0.3">
      <c r="A3" s="11" t="s">
        <v>1</v>
      </c>
      <c r="B3" s="54">
        <v>3481</v>
      </c>
      <c r="C3" s="11">
        <v>37.200000000000003</v>
      </c>
      <c r="D3" s="58">
        <f t="shared" ref="D3:D61" si="0">(0.5*(B3/$B$62))+(0.5*(C3/$C$62))</f>
        <v>0.44908561233778505</v>
      </c>
    </row>
    <row r="4" spans="1:4" x14ac:dyDescent="0.3">
      <c r="A4" s="11" t="s">
        <v>2</v>
      </c>
      <c r="B4" s="54">
        <v>6190</v>
      </c>
      <c r="C4" s="11">
        <v>33.9</v>
      </c>
      <c r="D4" s="58">
        <f t="shared" si="0"/>
        <v>0.57978299567426717</v>
      </c>
    </row>
    <row r="5" spans="1:4" x14ac:dyDescent="0.3">
      <c r="A5" s="11" t="s">
        <v>3</v>
      </c>
      <c r="B5" s="53">
        <v>5137</v>
      </c>
      <c r="C5" s="11">
        <v>29.5</v>
      </c>
      <c r="D5" s="58">
        <f t="shared" si="0"/>
        <v>0.49042727653038443</v>
      </c>
    </row>
    <row r="6" spans="1:4" x14ac:dyDescent="0.3">
      <c r="A6" s="11" t="s">
        <v>4</v>
      </c>
      <c r="B6" s="53">
        <v>4748</v>
      </c>
      <c r="C6" s="11">
        <v>32.9</v>
      </c>
      <c r="D6" s="58">
        <f t="shared" si="0"/>
        <v>0.49151139338651145</v>
      </c>
    </row>
    <row r="7" spans="1:4" x14ac:dyDescent="0.3">
      <c r="A7" s="11" t="s">
        <v>5</v>
      </c>
      <c r="B7" s="53">
        <v>5636</v>
      </c>
      <c r="C7" s="11">
        <v>33.6</v>
      </c>
      <c r="D7" s="58">
        <f t="shared" si="0"/>
        <v>0.54644120757383552</v>
      </c>
    </row>
    <row r="8" spans="1:4" x14ac:dyDescent="0.3">
      <c r="A8" s="11" t="s">
        <v>6</v>
      </c>
      <c r="B8" s="53">
        <v>1345</v>
      </c>
      <c r="C8" s="11">
        <v>13.3</v>
      </c>
      <c r="D8" s="58">
        <f t="shared" si="0"/>
        <v>0.16623654189188858</v>
      </c>
    </row>
    <row r="9" spans="1:4" x14ac:dyDescent="0.3">
      <c r="A9" s="11" t="s">
        <v>7</v>
      </c>
      <c r="B9" s="53">
        <v>3776</v>
      </c>
      <c r="C9" s="11">
        <v>68.400000000000006</v>
      </c>
      <c r="D9" s="58">
        <f t="shared" si="0"/>
        <v>0.67742497442100691</v>
      </c>
    </row>
    <row r="10" spans="1:4" x14ac:dyDescent="0.3">
      <c r="A10" s="11" t="s">
        <v>8</v>
      </c>
      <c r="B10" s="53">
        <v>2917</v>
      </c>
      <c r="C10" s="11">
        <v>30.3</v>
      </c>
      <c r="D10" s="58">
        <f t="shared" si="0"/>
        <v>0.37040260537686387</v>
      </c>
    </row>
    <row r="11" spans="1:4" x14ac:dyDescent="0.3">
      <c r="A11" s="11" t="s">
        <v>9</v>
      </c>
      <c r="B11" s="53">
        <v>2565</v>
      </c>
      <c r="C11" s="11">
        <v>38.700000000000003</v>
      </c>
      <c r="D11" s="58">
        <f t="shared" si="0"/>
        <v>0.4074988928037766</v>
      </c>
    </row>
    <row r="12" spans="1:4" x14ac:dyDescent="0.3">
      <c r="A12" s="11" t="s">
        <v>10</v>
      </c>
      <c r="B12" s="53">
        <v>3798</v>
      </c>
      <c r="C12" s="57">
        <v>47.2</v>
      </c>
      <c r="D12" s="58">
        <f t="shared" si="0"/>
        <v>0.53484187029671637</v>
      </c>
    </row>
    <row r="13" spans="1:4" x14ac:dyDescent="0.3">
      <c r="A13" s="11" t="s">
        <v>11</v>
      </c>
      <c r="B13" s="53">
        <v>1993</v>
      </c>
      <c r="C13" s="11">
        <v>36.200000000000003</v>
      </c>
      <c r="D13" s="58">
        <f t="shared" si="0"/>
        <v>0.35821455254550855</v>
      </c>
    </row>
    <row r="14" spans="1:4" x14ac:dyDescent="0.3">
      <c r="A14" s="11" t="s">
        <v>12</v>
      </c>
      <c r="B14" s="53">
        <v>4095</v>
      </c>
      <c r="C14" s="11">
        <v>57.7</v>
      </c>
      <c r="D14" s="58">
        <f t="shared" si="0"/>
        <v>0.62286005959844049</v>
      </c>
    </row>
    <row r="15" spans="1:4" x14ac:dyDescent="0.3">
      <c r="A15" s="11" t="s">
        <v>13</v>
      </c>
      <c r="B15" s="53">
        <v>8848</v>
      </c>
      <c r="C15" s="11">
        <v>24</v>
      </c>
      <c r="D15" s="58">
        <f t="shared" si="0"/>
        <v>0.66282225237449111</v>
      </c>
    </row>
    <row r="16" spans="1:4" x14ac:dyDescent="0.3">
      <c r="A16" s="11" t="s">
        <v>14</v>
      </c>
      <c r="B16" s="53">
        <v>322</v>
      </c>
      <c r="C16" s="11">
        <v>11.1</v>
      </c>
      <c r="D16" s="58">
        <f t="shared" si="0"/>
        <v>9.3501494254847731E-2</v>
      </c>
    </row>
    <row r="17" spans="1:4" x14ac:dyDescent="0.3">
      <c r="A17" s="11" t="s">
        <v>15</v>
      </c>
      <c r="B17" s="53">
        <v>8586</v>
      </c>
      <c r="C17" s="11">
        <v>24.5</v>
      </c>
      <c r="D17" s="58">
        <f t="shared" si="0"/>
        <v>0.65140877684567466</v>
      </c>
    </row>
    <row r="18" spans="1:4" x14ac:dyDescent="0.3">
      <c r="A18" s="11" t="s">
        <v>16</v>
      </c>
      <c r="B18" s="53">
        <v>5959</v>
      </c>
      <c r="C18" s="11">
        <v>39.5</v>
      </c>
      <c r="D18" s="58">
        <f t="shared" si="0"/>
        <v>0.60472105709329393</v>
      </c>
    </row>
    <row r="19" spans="1:4" x14ac:dyDescent="0.3">
      <c r="A19" s="11" t="s">
        <v>17</v>
      </c>
      <c r="B19" s="53">
        <v>3144</v>
      </c>
      <c r="C19" s="11">
        <v>47.4</v>
      </c>
      <c r="D19" s="58">
        <f t="shared" si="0"/>
        <v>0.49924121787904141</v>
      </c>
    </row>
    <row r="20" spans="1:4" x14ac:dyDescent="0.3">
      <c r="A20" s="11" t="s">
        <v>18</v>
      </c>
      <c r="B20" s="53">
        <v>4165</v>
      </c>
      <c r="C20" s="11">
        <v>12.9</v>
      </c>
      <c r="D20" s="58">
        <f t="shared" si="0"/>
        <v>0.32288088470192194</v>
      </c>
    </row>
    <row r="21" spans="1:4" x14ac:dyDescent="0.3">
      <c r="A21" s="11" t="s">
        <v>19</v>
      </c>
      <c r="B21" s="53">
        <v>2629</v>
      </c>
      <c r="C21" s="11">
        <v>0</v>
      </c>
      <c r="D21" s="58">
        <f t="shared" si="0"/>
        <v>0.14856464737793851</v>
      </c>
    </row>
    <row r="22" spans="1:4" x14ac:dyDescent="0.3">
      <c r="A22" s="11" t="s">
        <v>20</v>
      </c>
      <c r="B22" s="53">
        <v>4884</v>
      </c>
      <c r="C22" s="11">
        <v>47.7</v>
      </c>
      <c r="D22" s="58">
        <f t="shared" si="0"/>
        <v>0.59960380163950922</v>
      </c>
    </row>
    <row r="23" spans="1:4" x14ac:dyDescent="0.3">
      <c r="A23" s="11" t="s">
        <v>21</v>
      </c>
      <c r="B23" s="53">
        <v>1014</v>
      </c>
      <c r="C23" s="11">
        <v>22.4</v>
      </c>
      <c r="D23" s="58">
        <f t="shared" si="0"/>
        <v>0.20926852054048348</v>
      </c>
    </row>
    <row r="24" spans="1:4" x14ac:dyDescent="0.3">
      <c r="A24" s="11" t="s">
        <v>22</v>
      </c>
      <c r="B24" s="53">
        <v>166</v>
      </c>
      <c r="C24" s="11">
        <v>20.9</v>
      </c>
      <c r="D24" s="58">
        <f t="shared" si="0"/>
        <v>0.15117169577069445</v>
      </c>
    </row>
    <row r="25" spans="1:4" x14ac:dyDescent="0.3">
      <c r="A25" s="11" t="s">
        <v>23</v>
      </c>
      <c r="B25" s="53">
        <v>2764</v>
      </c>
      <c r="C25" s="11">
        <v>28.8</v>
      </c>
      <c r="D25" s="58">
        <f t="shared" si="0"/>
        <v>0.35158019290363896</v>
      </c>
    </row>
    <row r="26" spans="1:4" x14ac:dyDescent="0.3">
      <c r="A26" s="11" t="s">
        <v>24</v>
      </c>
      <c r="B26" s="53">
        <v>6995</v>
      </c>
      <c r="C26" s="11">
        <v>1.3</v>
      </c>
      <c r="D26" s="58">
        <f t="shared" si="0"/>
        <v>0.40410660919469726</v>
      </c>
    </row>
    <row r="27" spans="1:4" x14ac:dyDescent="0.3">
      <c r="A27" s="11" t="s">
        <v>25</v>
      </c>
      <c r="B27" s="53">
        <v>1544</v>
      </c>
      <c r="C27" s="11">
        <v>4.5999999999999996</v>
      </c>
      <c r="D27" s="58">
        <f t="shared" si="0"/>
        <v>0.11845895461047548</v>
      </c>
    </row>
    <row r="28" spans="1:4" x14ac:dyDescent="0.3">
      <c r="A28" s="11" t="s">
        <v>26</v>
      </c>
      <c r="B28" s="53">
        <v>3450</v>
      </c>
      <c r="C28" s="11">
        <v>14</v>
      </c>
      <c r="D28" s="58">
        <f t="shared" si="0"/>
        <v>0.28993896005751285</v>
      </c>
    </row>
    <row r="29" spans="1:4" x14ac:dyDescent="0.3">
      <c r="A29" s="11" t="s">
        <v>27</v>
      </c>
      <c r="B29" s="53">
        <v>2100</v>
      </c>
      <c r="C29" s="11">
        <v>68.7</v>
      </c>
      <c r="D29" s="58">
        <f t="shared" si="0"/>
        <v>0.58474958349793038</v>
      </c>
    </row>
    <row r="30" spans="1:4" x14ac:dyDescent="0.3">
      <c r="A30" s="11" t="s">
        <v>28</v>
      </c>
      <c r="B30" s="53">
        <v>2925</v>
      </c>
      <c r="C30" s="11">
        <v>36.200000000000003</v>
      </c>
      <c r="D30" s="58">
        <f t="shared" si="0"/>
        <v>0.4108818219849299</v>
      </c>
    </row>
    <row r="31" spans="1:4" x14ac:dyDescent="0.3">
      <c r="A31" s="11" t="s">
        <v>29</v>
      </c>
      <c r="B31" s="53">
        <v>3098</v>
      </c>
      <c r="C31" s="11">
        <v>45</v>
      </c>
      <c r="D31" s="58">
        <f t="shared" si="0"/>
        <v>0.48035953513707152</v>
      </c>
    </row>
    <row r="32" spans="1:4" x14ac:dyDescent="0.3">
      <c r="A32" s="11" t="s">
        <v>30</v>
      </c>
      <c r="B32" s="53">
        <v>2228</v>
      </c>
      <c r="C32" s="11">
        <v>17.399999999999999</v>
      </c>
      <c r="D32" s="58">
        <f t="shared" si="0"/>
        <v>0.24395029210351332</v>
      </c>
    </row>
    <row r="33" spans="1:4" x14ac:dyDescent="0.3">
      <c r="A33" s="11" t="s">
        <v>31</v>
      </c>
      <c r="B33" s="53">
        <v>4643</v>
      </c>
      <c r="C33" s="11">
        <v>8.5</v>
      </c>
      <c r="D33" s="58">
        <f t="shared" si="0"/>
        <v>0.32004189250198134</v>
      </c>
    </row>
    <row r="34" spans="1:4" x14ac:dyDescent="0.3">
      <c r="A34" s="11" t="s">
        <v>32</v>
      </c>
      <c r="B34" s="53">
        <v>2994</v>
      </c>
      <c r="C34" s="11">
        <v>59</v>
      </c>
      <c r="D34" s="58">
        <f t="shared" si="0"/>
        <v>0.56946214799747774</v>
      </c>
    </row>
    <row r="35" spans="1:4" x14ac:dyDescent="0.3">
      <c r="A35" s="11" t="s">
        <v>33</v>
      </c>
      <c r="B35" s="53">
        <v>5730</v>
      </c>
      <c r="C35" s="11">
        <v>52.8</v>
      </c>
      <c r="D35" s="58">
        <f t="shared" si="0"/>
        <v>0.68201094437397103</v>
      </c>
    </row>
    <row r="36" spans="1:4" x14ac:dyDescent="0.3">
      <c r="A36" s="11" t="s">
        <v>34</v>
      </c>
      <c r="B36" s="53">
        <v>1810</v>
      </c>
      <c r="C36" s="11">
        <v>43.1</v>
      </c>
      <c r="D36" s="58">
        <f t="shared" si="0"/>
        <v>0.39468463003084198</v>
      </c>
    </row>
    <row r="37" spans="1:4" x14ac:dyDescent="0.3">
      <c r="A37" s="11" t="s">
        <v>35</v>
      </c>
      <c r="B37" s="53">
        <v>6962</v>
      </c>
      <c r="C37" s="11">
        <v>10.3</v>
      </c>
      <c r="D37" s="58">
        <f t="shared" si="0"/>
        <v>0.46330012562536654</v>
      </c>
    </row>
    <row r="38" spans="1:4" x14ac:dyDescent="0.3">
      <c r="A38" s="11" t="s">
        <v>36</v>
      </c>
      <c r="B38" s="53">
        <v>1041</v>
      </c>
      <c r="C38" s="11">
        <v>11.5</v>
      </c>
      <c r="D38" s="58">
        <f t="shared" si="0"/>
        <v>0.1368458494556643</v>
      </c>
    </row>
    <row r="39" spans="1:4" x14ac:dyDescent="0.3">
      <c r="A39" s="11" t="s">
        <v>37</v>
      </c>
      <c r="B39" s="53">
        <v>2954</v>
      </c>
      <c r="C39" s="11">
        <v>24.5</v>
      </c>
      <c r="D39" s="58">
        <f t="shared" si="0"/>
        <v>0.33314476237912849</v>
      </c>
    </row>
    <row r="40" spans="1:4" x14ac:dyDescent="0.3">
      <c r="A40" s="11" t="s">
        <v>38</v>
      </c>
      <c r="B40" s="53">
        <v>1338</v>
      </c>
      <c r="C40" s="11">
        <v>56.1</v>
      </c>
      <c r="D40" s="58">
        <f t="shared" si="0"/>
        <v>0.45620732233947803</v>
      </c>
    </row>
    <row r="41" spans="1:4" x14ac:dyDescent="0.3">
      <c r="A41" s="11" t="s">
        <v>39</v>
      </c>
      <c r="B41" s="53">
        <v>6893</v>
      </c>
      <c r="C41" s="11">
        <v>25</v>
      </c>
      <c r="D41" s="58">
        <f t="shared" si="0"/>
        <v>0.55912956894796118</v>
      </c>
    </row>
    <row r="42" spans="1:4" x14ac:dyDescent="0.3">
      <c r="A42" s="11" t="s">
        <v>40</v>
      </c>
      <c r="B42" s="53">
        <v>5193</v>
      </c>
      <c r="C42" s="11">
        <v>40.6</v>
      </c>
      <c r="D42" s="58">
        <f t="shared" si="0"/>
        <v>0.56889712521561187</v>
      </c>
    </row>
    <row r="43" spans="1:4" x14ac:dyDescent="0.3">
      <c r="A43" s="11" t="s">
        <v>41</v>
      </c>
      <c r="B43" s="53">
        <v>2946</v>
      </c>
      <c r="C43" s="11">
        <v>34</v>
      </c>
      <c r="D43" s="58">
        <f t="shared" si="0"/>
        <v>0.39714315771136099</v>
      </c>
    </row>
    <row r="44" spans="1:4" x14ac:dyDescent="0.3">
      <c r="A44" s="11" t="s">
        <v>42</v>
      </c>
      <c r="B44" s="53">
        <v>1951</v>
      </c>
      <c r="C44" s="11">
        <v>18.7</v>
      </c>
      <c r="D44" s="58">
        <f t="shared" si="0"/>
        <v>0.23711657580092305</v>
      </c>
    </row>
    <row r="45" spans="1:4" x14ac:dyDescent="0.3">
      <c r="A45" s="11" t="s">
        <v>43</v>
      </c>
      <c r="B45" s="53">
        <v>2524</v>
      </c>
      <c r="C45" s="11">
        <v>34</v>
      </c>
      <c r="D45" s="58">
        <f t="shared" si="0"/>
        <v>0.37329596060467019</v>
      </c>
    </row>
    <row r="46" spans="1:4" x14ac:dyDescent="0.3">
      <c r="A46" s="11" t="s">
        <v>44</v>
      </c>
      <c r="B46" s="53">
        <v>3724</v>
      </c>
      <c r="C46" s="11">
        <v>37.799999999999997</v>
      </c>
      <c r="D46" s="58">
        <f t="shared" si="0"/>
        <v>0.46688808546450716</v>
      </c>
    </row>
    <row r="47" spans="1:4" x14ac:dyDescent="0.3">
      <c r="A47" s="11" t="s">
        <v>45</v>
      </c>
      <c r="B47" s="53">
        <v>4519</v>
      </c>
      <c r="C47" s="11">
        <v>11.3</v>
      </c>
      <c r="D47" s="58">
        <f t="shared" si="0"/>
        <v>0.33203058867261587</v>
      </c>
    </row>
    <row r="48" spans="1:4" x14ac:dyDescent="0.3">
      <c r="A48" s="11" t="s">
        <v>46</v>
      </c>
      <c r="B48" s="53">
        <v>1324</v>
      </c>
      <c r="C48" s="11">
        <v>63.5</v>
      </c>
      <c r="D48" s="58">
        <f t="shared" si="0"/>
        <v>0.5056197109144398</v>
      </c>
    </row>
    <row r="49" spans="1:4" x14ac:dyDescent="0.3">
      <c r="A49" s="11" t="s">
        <v>47</v>
      </c>
      <c r="B49" s="53">
        <v>1328</v>
      </c>
      <c r="C49" s="11">
        <v>73.7</v>
      </c>
      <c r="D49" s="58">
        <f t="shared" si="0"/>
        <v>0.57504520795660041</v>
      </c>
    </row>
    <row r="50" spans="1:4" x14ac:dyDescent="0.3">
      <c r="A50" s="11" t="s">
        <v>48</v>
      </c>
      <c r="B50" s="53">
        <v>1950</v>
      </c>
      <c r="C50" s="11">
        <v>64.099999999999994</v>
      </c>
      <c r="D50" s="58">
        <f t="shared" si="0"/>
        <v>0.545065493263585</v>
      </c>
    </row>
    <row r="51" spans="1:4" x14ac:dyDescent="0.3">
      <c r="A51" s="11" t="s">
        <v>49</v>
      </c>
      <c r="B51" s="53">
        <v>2386</v>
      </c>
      <c r="C51" s="11">
        <v>42.7</v>
      </c>
      <c r="D51" s="58">
        <f t="shared" si="0"/>
        <v>0.42452065457686089</v>
      </c>
    </row>
    <row r="52" spans="1:4" x14ac:dyDescent="0.3">
      <c r="A52" s="11" t="s">
        <v>50</v>
      </c>
      <c r="B52" s="53">
        <v>1602</v>
      </c>
      <c r="C52" s="11">
        <v>34.799999999999997</v>
      </c>
      <c r="D52" s="58">
        <f t="shared" si="0"/>
        <v>0.32662119903523645</v>
      </c>
    </row>
    <row r="53" spans="1:4" x14ac:dyDescent="0.3">
      <c r="A53" s="11" t="s">
        <v>51</v>
      </c>
      <c r="B53" s="55">
        <v>5</v>
      </c>
      <c r="C53" s="11">
        <v>2.8</v>
      </c>
      <c r="D53" s="58">
        <f t="shared" si="0"/>
        <v>1.9278479172442894E-2</v>
      </c>
    </row>
    <row r="54" spans="1:4" x14ac:dyDescent="0.3">
      <c r="A54" s="11" t="s">
        <v>52</v>
      </c>
      <c r="B54" s="53">
        <v>4220</v>
      </c>
      <c r="C54" s="11">
        <v>32.6</v>
      </c>
      <c r="D54" s="58">
        <f t="shared" si="0"/>
        <v>0.45963886387559161</v>
      </c>
    </row>
    <row r="55" spans="1:4" x14ac:dyDescent="0.3">
      <c r="A55" s="11" t="s">
        <v>53</v>
      </c>
      <c r="B55" s="53">
        <v>2864</v>
      </c>
      <c r="C55" s="11">
        <v>61.2</v>
      </c>
      <c r="D55" s="58">
        <f t="shared" si="0"/>
        <v>0.5770412281842473</v>
      </c>
    </row>
    <row r="56" spans="1:4" x14ac:dyDescent="0.3">
      <c r="A56" s="11" t="s">
        <v>54</v>
      </c>
      <c r="B56" s="53">
        <v>6746</v>
      </c>
      <c r="C56" s="11">
        <v>56.1</v>
      </c>
      <c r="D56" s="58">
        <f t="shared" si="0"/>
        <v>0.76181310895792287</v>
      </c>
    </row>
    <row r="57" spans="1:4" x14ac:dyDescent="0.3">
      <c r="A57" s="11" t="s">
        <v>55</v>
      </c>
      <c r="B57" s="53">
        <v>5895</v>
      </c>
      <c r="C57" s="11">
        <v>50.1</v>
      </c>
      <c r="D57" s="58">
        <f t="shared" si="0"/>
        <v>0.67301758203066542</v>
      </c>
    </row>
    <row r="58" spans="1:4" x14ac:dyDescent="0.3">
      <c r="A58" s="11" t="s">
        <v>56</v>
      </c>
      <c r="B58" s="54">
        <v>2241</v>
      </c>
      <c r="C58" s="11">
        <v>43.1</v>
      </c>
      <c r="D58" s="58">
        <f t="shared" si="0"/>
        <v>0.41904041664928682</v>
      </c>
    </row>
    <row r="59" spans="1:4" x14ac:dyDescent="0.3">
      <c r="A59" s="11" t="s">
        <v>57</v>
      </c>
      <c r="B59" s="53">
        <v>905</v>
      </c>
      <c r="C59" s="11">
        <v>73.3</v>
      </c>
      <c r="D59" s="58">
        <f t="shared" si="0"/>
        <v>0.54842779669791752</v>
      </c>
    </row>
    <row r="60" spans="1:4" x14ac:dyDescent="0.3">
      <c r="A60" s="11" t="s">
        <v>58</v>
      </c>
      <c r="B60" s="53">
        <v>253</v>
      </c>
      <c r="C60" s="11">
        <v>1.4</v>
      </c>
      <c r="D60" s="58">
        <f t="shared" si="0"/>
        <v>2.3794980996709694E-2</v>
      </c>
    </row>
    <row r="61" spans="1:4" x14ac:dyDescent="0.3">
      <c r="A61" s="11" t="s">
        <v>59</v>
      </c>
      <c r="B61" s="53">
        <v>1831</v>
      </c>
      <c r="C61" s="11">
        <v>34.799999999999997</v>
      </c>
      <c r="D61" s="58">
        <f t="shared" si="0"/>
        <v>0.33956197661208998</v>
      </c>
    </row>
    <row r="62" spans="1:4" x14ac:dyDescent="0.3">
      <c r="A62" s="1" t="s">
        <v>502</v>
      </c>
      <c r="B62" s="56">
        <f>MAX(B2:B61)</f>
        <v>8848</v>
      </c>
      <c r="C62">
        <f>MAX(C2:C61)</f>
        <v>73.7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F5E8-E583-4039-A611-9EF12438E411}">
  <dimension ref="A1:E62"/>
  <sheetViews>
    <sheetView workbookViewId="0">
      <selection activeCell="E1" activeCellId="1" sqref="E2:E61 E1"/>
    </sheetView>
  </sheetViews>
  <sheetFormatPr defaultRowHeight="14.4" x14ac:dyDescent="0.3"/>
  <cols>
    <col min="1" max="1" width="18.88671875" customWidth="1"/>
    <col min="2" max="2" width="5.44140625" customWidth="1"/>
    <col min="3" max="3" width="5.77734375" customWidth="1"/>
    <col min="4" max="4" width="7.88671875" customWidth="1"/>
    <col min="5" max="5" width="10.88671875" customWidth="1"/>
  </cols>
  <sheetData>
    <row r="1" spans="1:5" x14ac:dyDescent="0.3">
      <c r="A1" s="10" t="s">
        <v>67</v>
      </c>
      <c r="B1" s="20" t="s">
        <v>508</v>
      </c>
      <c r="C1" s="20" t="s">
        <v>558</v>
      </c>
      <c r="D1" s="23" t="s">
        <v>559</v>
      </c>
      <c r="E1" s="23" t="s">
        <v>560</v>
      </c>
    </row>
    <row r="2" spans="1:5" x14ac:dyDescent="0.3">
      <c r="A2" s="11" t="s">
        <v>0</v>
      </c>
      <c r="B2" s="61">
        <v>0.22401315789473683</v>
      </c>
      <c r="C2" s="61">
        <v>0.49230130581679798</v>
      </c>
      <c r="D2" s="33">
        <f t="shared" ref="D2:D33" si="0">0.5*B2+0.5*C2</f>
        <v>0.35815723185576742</v>
      </c>
      <c r="E2" s="60">
        <f t="shared" ref="E2:E33" si="1">D2/$D$62</f>
        <v>0.51730763709048488</v>
      </c>
    </row>
    <row r="3" spans="1:5" x14ac:dyDescent="0.3">
      <c r="A3" s="11" t="s">
        <v>1</v>
      </c>
      <c r="B3" s="61">
        <v>0.13338815789473685</v>
      </c>
      <c r="C3" s="61">
        <v>0.44908561233778505</v>
      </c>
      <c r="D3" s="33">
        <f t="shared" si="0"/>
        <v>0.29123688511626095</v>
      </c>
      <c r="E3" s="60">
        <f t="shared" si="1"/>
        <v>0.42065062903366834</v>
      </c>
    </row>
    <row r="4" spans="1:5" x14ac:dyDescent="0.3">
      <c r="A4" s="11" t="s">
        <v>2</v>
      </c>
      <c r="B4" s="61">
        <v>0.78947368421052633</v>
      </c>
      <c r="C4" s="61">
        <v>0.57978299567426717</v>
      </c>
      <c r="D4" s="33">
        <f t="shared" si="0"/>
        <v>0.68462833994239669</v>
      </c>
      <c r="E4" s="60">
        <f t="shared" si="1"/>
        <v>0.98884913473813851</v>
      </c>
    </row>
    <row r="5" spans="1:5" x14ac:dyDescent="0.3">
      <c r="A5" s="11" t="s">
        <v>3</v>
      </c>
      <c r="B5" s="61">
        <v>0.1432565789473684</v>
      </c>
      <c r="C5" s="61">
        <v>0.49042727653038443</v>
      </c>
      <c r="D5" s="33">
        <f t="shared" si="0"/>
        <v>0.31684192773887643</v>
      </c>
      <c r="E5" s="60">
        <f t="shared" si="1"/>
        <v>0.45763350392376828</v>
      </c>
    </row>
    <row r="6" spans="1:5" x14ac:dyDescent="0.3">
      <c r="A6" s="11" t="s">
        <v>4</v>
      </c>
      <c r="B6" s="61">
        <v>0.47976973684210522</v>
      </c>
      <c r="C6" s="61">
        <v>0.49151139338651145</v>
      </c>
      <c r="D6" s="33">
        <f t="shared" si="0"/>
        <v>0.48564056511430831</v>
      </c>
      <c r="E6" s="60">
        <f t="shared" si="1"/>
        <v>0.70143934247219386</v>
      </c>
    </row>
    <row r="7" spans="1:5" x14ac:dyDescent="0.3">
      <c r="A7" s="11" t="s">
        <v>5</v>
      </c>
      <c r="B7" s="61">
        <v>0.29490131578947365</v>
      </c>
      <c r="C7" s="61">
        <v>0.54644120757383552</v>
      </c>
      <c r="D7" s="33">
        <f t="shared" si="0"/>
        <v>0.42067126168165458</v>
      </c>
      <c r="E7" s="60">
        <f t="shared" si="1"/>
        <v>0.60760034146133213</v>
      </c>
    </row>
    <row r="8" spans="1:5" x14ac:dyDescent="0.3">
      <c r="A8" s="11" t="s">
        <v>6</v>
      </c>
      <c r="B8" s="61">
        <v>0.33026315789473681</v>
      </c>
      <c r="C8" s="61">
        <v>0.16623654189188858</v>
      </c>
      <c r="D8" s="33">
        <f t="shared" si="0"/>
        <v>0.2482498498933127</v>
      </c>
      <c r="E8" s="60">
        <f t="shared" si="1"/>
        <v>0.35856191592438225</v>
      </c>
    </row>
    <row r="9" spans="1:5" x14ac:dyDescent="0.3">
      <c r="A9" s="11" t="s">
        <v>7</v>
      </c>
      <c r="B9" s="61">
        <v>0.18651315789473683</v>
      </c>
      <c r="C9" s="61">
        <v>0.67742497442100691</v>
      </c>
      <c r="D9" s="33">
        <f t="shared" si="0"/>
        <v>0.43196906615787189</v>
      </c>
      <c r="E9" s="60">
        <f t="shared" si="1"/>
        <v>0.62391842753660054</v>
      </c>
    </row>
    <row r="10" spans="1:5" x14ac:dyDescent="0.3">
      <c r="A10" s="11" t="s">
        <v>8</v>
      </c>
      <c r="B10" s="61">
        <v>0.10888157894736841</v>
      </c>
      <c r="C10" s="61">
        <v>0.37040260537686387</v>
      </c>
      <c r="D10" s="33">
        <f t="shared" si="0"/>
        <v>0.23964209216211613</v>
      </c>
      <c r="E10" s="60">
        <f t="shared" si="1"/>
        <v>0.34612922319471023</v>
      </c>
    </row>
    <row r="11" spans="1:5" x14ac:dyDescent="0.3">
      <c r="A11" s="11" t="s">
        <v>9</v>
      </c>
      <c r="B11" s="61">
        <v>0.1570723684210526</v>
      </c>
      <c r="C11" s="61">
        <v>0.4074988928037766</v>
      </c>
      <c r="D11" s="33">
        <f t="shared" si="0"/>
        <v>0.28228563061241463</v>
      </c>
      <c r="E11" s="60">
        <f t="shared" si="1"/>
        <v>0.40772180363375277</v>
      </c>
    </row>
    <row r="12" spans="1:5" x14ac:dyDescent="0.3">
      <c r="A12" s="11" t="s">
        <v>10</v>
      </c>
      <c r="B12" s="61">
        <v>2.6315789473684209E-2</v>
      </c>
      <c r="C12" s="61">
        <v>0.53484187029671637</v>
      </c>
      <c r="D12" s="33">
        <f t="shared" si="0"/>
        <v>0.28057882988520028</v>
      </c>
      <c r="E12" s="60">
        <f t="shared" si="1"/>
        <v>0.40525657056668701</v>
      </c>
    </row>
    <row r="13" spans="1:5" x14ac:dyDescent="0.3">
      <c r="A13" s="11" t="s">
        <v>11</v>
      </c>
      <c r="B13" s="61">
        <v>2.8124999999999997E-2</v>
      </c>
      <c r="C13" s="61">
        <v>0.35821455254550855</v>
      </c>
      <c r="D13" s="33">
        <f t="shared" si="0"/>
        <v>0.19316977627275428</v>
      </c>
      <c r="E13" s="60">
        <f t="shared" si="1"/>
        <v>0.27900651343317828</v>
      </c>
    </row>
    <row r="14" spans="1:5" x14ac:dyDescent="0.3">
      <c r="A14" s="11" t="s">
        <v>12</v>
      </c>
      <c r="B14" s="61">
        <v>8.0756578947368415E-2</v>
      </c>
      <c r="C14" s="61">
        <v>0.62286005959844049</v>
      </c>
      <c r="D14" s="33">
        <f t="shared" si="0"/>
        <v>0.35180831927290446</v>
      </c>
      <c r="E14" s="60">
        <f t="shared" si="1"/>
        <v>0.50813752778034393</v>
      </c>
    </row>
    <row r="15" spans="1:5" x14ac:dyDescent="0.3">
      <c r="A15" s="11" t="s">
        <v>13</v>
      </c>
      <c r="B15" s="61">
        <v>0.72187500000000004</v>
      </c>
      <c r="C15" s="61">
        <v>0.66282225237449111</v>
      </c>
      <c r="D15" s="33">
        <f t="shared" si="0"/>
        <v>0.69234862618724557</v>
      </c>
      <c r="E15" s="60">
        <f t="shared" si="1"/>
        <v>1</v>
      </c>
    </row>
    <row r="16" spans="1:5" x14ac:dyDescent="0.3">
      <c r="A16" s="11" t="s">
        <v>14</v>
      </c>
      <c r="B16" s="61">
        <v>2.6315789473684209E-2</v>
      </c>
      <c r="C16" s="61">
        <v>9.3501494254847731E-2</v>
      </c>
      <c r="D16" s="33">
        <f t="shared" si="0"/>
        <v>5.990864186426597E-2</v>
      </c>
      <c r="E16" s="60">
        <f t="shared" si="1"/>
        <v>8.6529588704728197E-2</v>
      </c>
    </row>
    <row r="17" spans="1:5" x14ac:dyDescent="0.3">
      <c r="A17" s="11" t="s">
        <v>15</v>
      </c>
      <c r="B17" s="61">
        <v>0.26677631578947369</v>
      </c>
      <c r="C17" s="61">
        <v>0.65140877684567466</v>
      </c>
      <c r="D17" s="33">
        <f t="shared" si="0"/>
        <v>0.45909254631757418</v>
      </c>
      <c r="E17" s="60">
        <f t="shared" si="1"/>
        <v>0.66309447141650379</v>
      </c>
    </row>
    <row r="18" spans="1:5" x14ac:dyDescent="0.3">
      <c r="A18" s="11" t="s">
        <v>16</v>
      </c>
      <c r="B18" s="61">
        <v>0.55328947368421044</v>
      </c>
      <c r="C18" s="61">
        <v>0.60472105709329393</v>
      </c>
      <c r="D18" s="33">
        <f t="shared" si="0"/>
        <v>0.57900526538875219</v>
      </c>
      <c r="E18" s="60">
        <f t="shared" si="1"/>
        <v>0.83629149172625106</v>
      </c>
    </row>
    <row r="19" spans="1:5" x14ac:dyDescent="0.3">
      <c r="A19" s="11" t="s">
        <v>17</v>
      </c>
      <c r="B19" s="61">
        <v>0.13519736842105262</v>
      </c>
      <c r="C19" s="61">
        <v>0.49924121787904141</v>
      </c>
      <c r="D19" s="33">
        <f t="shared" si="0"/>
        <v>0.31721929315004704</v>
      </c>
      <c r="E19" s="60">
        <f t="shared" si="1"/>
        <v>0.45817855506837551</v>
      </c>
    </row>
    <row r="20" spans="1:5" x14ac:dyDescent="0.3">
      <c r="A20" s="11" t="s">
        <v>18</v>
      </c>
      <c r="B20" s="61">
        <v>7.8124999999999986E-2</v>
      </c>
      <c r="C20" s="61">
        <v>0.32288088470192194</v>
      </c>
      <c r="D20" s="33">
        <f t="shared" si="0"/>
        <v>0.20050294235096097</v>
      </c>
      <c r="E20" s="60">
        <f t="shared" si="1"/>
        <v>0.28959823818114283</v>
      </c>
    </row>
    <row r="21" spans="1:5" x14ac:dyDescent="0.3">
      <c r="A21" s="11" t="s">
        <v>19</v>
      </c>
      <c r="B21" s="61">
        <v>4.8190789473684208E-2</v>
      </c>
      <c r="C21" s="61">
        <v>0.14856464737793851</v>
      </c>
      <c r="D21" s="33">
        <f t="shared" si="0"/>
        <v>9.8377718425811361E-2</v>
      </c>
      <c r="E21" s="60">
        <f t="shared" si="1"/>
        <v>0.14209274735991911</v>
      </c>
    </row>
    <row r="22" spans="1:5" x14ac:dyDescent="0.3">
      <c r="A22" s="11" t="s">
        <v>20</v>
      </c>
      <c r="B22" s="61">
        <v>0.16776315789473684</v>
      </c>
      <c r="C22" s="61">
        <v>0.59960380163950922</v>
      </c>
      <c r="D22" s="33">
        <f t="shared" si="0"/>
        <v>0.38368347976712303</v>
      </c>
      <c r="E22" s="60">
        <f t="shared" si="1"/>
        <v>0.55417670412673847</v>
      </c>
    </row>
    <row r="23" spans="1:5" x14ac:dyDescent="0.3">
      <c r="A23" s="11" t="s">
        <v>21</v>
      </c>
      <c r="B23" s="61">
        <v>5.4440789473684206E-2</v>
      </c>
      <c r="C23" s="61">
        <v>0.20926852054048348</v>
      </c>
      <c r="D23" s="33">
        <f t="shared" si="0"/>
        <v>0.13185465500708385</v>
      </c>
      <c r="E23" s="60">
        <f t="shared" si="1"/>
        <v>0.1904454634844957</v>
      </c>
    </row>
    <row r="24" spans="1:5" x14ac:dyDescent="0.3">
      <c r="A24" s="11" t="s">
        <v>22</v>
      </c>
      <c r="B24" s="61">
        <v>0</v>
      </c>
      <c r="C24" s="61">
        <v>0.15117169577069445</v>
      </c>
      <c r="D24" s="33">
        <f t="shared" si="0"/>
        <v>7.5585847885347224E-2</v>
      </c>
      <c r="E24" s="60">
        <f t="shared" si="1"/>
        <v>0.10917310300967513</v>
      </c>
    </row>
    <row r="25" spans="1:5" x14ac:dyDescent="0.3">
      <c r="A25" s="11" t="s">
        <v>23</v>
      </c>
      <c r="B25" s="61">
        <v>5.2631578947368418E-2</v>
      </c>
      <c r="C25" s="61">
        <v>0.35158019290363896</v>
      </c>
      <c r="D25" s="33">
        <f t="shared" si="0"/>
        <v>0.20210588592550369</v>
      </c>
      <c r="E25" s="60">
        <f t="shared" si="1"/>
        <v>0.2919134642304384</v>
      </c>
    </row>
    <row r="26" spans="1:5" x14ac:dyDescent="0.3">
      <c r="A26" s="11" t="s">
        <v>24</v>
      </c>
      <c r="B26" s="61">
        <v>7.8947368421052627E-2</v>
      </c>
      <c r="C26" s="61">
        <v>0.40410660919469726</v>
      </c>
      <c r="D26" s="33">
        <f t="shared" si="0"/>
        <v>0.24152698880787493</v>
      </c>
      <c r="E26" s="60">
        <f t="shared" si="1"/>
        <v>0.34885169071246774</v>
      </c>
    </row>
    <row r="27" spans="1:5" x14ac:dyDescent="0.3">
      <c r="A27" s="11" t="s">
        <v>25</v>
      </c>
      <c r="B27" s="61">
        <v>2.6315789473684209E-2</v>
      </c>
      <c r="C27" s="61">
        <v>0.11845895461047548</v>
      </c>
      <c r="D27" s="33">
        <f t="shared" si="0"/>
        <v>7.2387372042079845E-2</v>
      </c>
      <c r="E27" s="60">
        <f t="shared" si="1"/>
        <v>0.1045533554976719</v>
      </c>
    </row>
    <row r="28" spans="1:5" x14ac:dyDescent="0.3">
      <c r="A28" s="11" t="s">
        <v>26</v>
      </c>
      <c r="B28" s="61">
        <v>0.28470394736842108</v>
      </c>
      <c r="C28" s="61">
        <v>0.28993896005751285</v>
      </c>
      <c r="D28" s="33">
        <f t="shared" si="0"/>
        <v>0.28732145371296697</v>
      </c>
      <c r="E28" s="60">
        <f t="shared" si="1"/>
        <v>0.41499534027422325</v>
      </c>
    </row>
    <row r="29" spans="1:5" x14ac:dyDescent="0.3">
      <c r="A29" s="11" t="s">
        <v>27</v>
      </c>
      <c r="B29" s="61">
        <v>5.2631578947368418E-2</v>
      </c>
      <c r="C29" s="61">
        <v>0.58474958349793038</v>
      </c>
      <c r="D29" s="33">
        <f t="shared" si="0"/>
        <v>0.31869058122264937</v>
      </c>
      <c r="E29" s="60">
        <f t="shared" si="1"/>
        <v>0.46030362330271968</v>
      </c>
    </row>
    <row r="30" spans="1:5" x14ac:dyDescent="0.3">
      <c r="A30" s="11" t="s">
        <v>28</v>
      </c>
      <c r="B30" s="61">
        <v>7.8947368421052627E-2</v>
      </c>
      <c r="C30" s="61">
        <v>0.4108818219849299</v>
      </c>
      <c r="D30" s="33">
        <f t="shared" si="0"/>
        <v>0.24491459520299125</v>
      </c>
      <c r="E30" s="60">
        <f t="shared" si="1"/>
        <v>0.3537446106475759</v>
      </c>
    </row>
    <row r="31" spans="1:5" x14ac:dyDescent="0.3">
      <c r="A31" s="11" t="s">
        <v>29</v>
      </c>
      <c r="B31" s="61">
        <v>0</v>
      </c>
      <c r="C31" s="61">
        <v>0.48035953513707152</v>
      </c>
      <c r="D31" s="33">
        <f t="shared" si="0"/>
        <v>0.24017976756853576</v>
      </c>
      <c r="E31" s="60">
        <f t="shared" si="1"/>
        <v>0.34690581953083732</v>
      </c>
    </row>
    <row r="32" spans="1:5" x14ac:dyDescent="0.3">
      <c r="A32" s="11" t="s">
        <v>30</v>
      </c>
      <c r="B32" s="61">
        <v>0.41710526315789476</v>
      </c>
      <c r="C32" s="61">
        <v>0.24395029210351332</v>
      </c>
      <c r="D32" s="33">
        <f t="shared" si="0"/>
        <v>0.33052777763070407</v>
      </c>
      <c r="E32" s="60">
        <f t="shared" si="1"/>
        <v>0.47740078499312699</v>
      </c>
    </row>
    <row r="33" spans="1:5" x14ac:dyDescent="0.3">
      <c r="A33" s="11" t="s">
        <v>31</v>
      </c>
      <c r="B33" s="61">
        <v>5.2631578947368418E-2</v>
      </c>
      <c r="C33" s="61">
        <v>0.32004189250198134</v>
      </c>
      <c r="D33" s="33">
        <f t="shared" si="0"/>
        <v>0.18633673572467488</v>
      </c>
      <c r="E33" s="60">
        <f t="shared" si="1"/>
        <v>0.26913714951790796</v>
      </c>
    </row>
    <row r="34" spans="1:5" x14ac:dyDescent="0.3">
      <c r="A34" s="11" t="s">
        <v>32</v>
      </c>
      <c r="B34" s="61">
        <v>0.3537828947368421</v>
      </c>
      <c r="C34" s="61">
        <v>0.56946214799747774</v>
      </c>
      <c r="D34" s="33">
        <f t="shared" ref="D34:D65" si="2">0.5*B34+0.5*C34</f>
        <v>0.46162252136715992</v>
      </c>
      <c r="E34" s="60">
        <f t="shared" ref="E34:E65" si="3">D34/$D$62</f>
        <v>0.666748663761072</v>
      </c>
    </row>
    <row r="35" spans="1:5" x14ac:dyDescent="0.3">
      <c r="A35" s="11" t="s">
        <v>33</v>
      </c>
      <c r="B35" s="61">
        <v>0.13519736842105262</v>
      </c>
      <c r="C35" s="61">
        <v>0.68201094437397103</v>
      </c>
      <c r="D35" s="33">
        <f t="shared" si="2"/>
        <v>0.4086041563975118</v>
      </c>
      <c r="E35" s="60">
        <f t="shared" si="3"/>
        <v>0.59017110880639612</v>
      </c>
    </row>
    <row r="36" spans="1:5" x14ac:dyDescent="0.3">
      <c r="A36" s="11" t="s">
        <v>34</v>
      </c>
      <c r="B36" s="61">
        <v>2.8124999999999997E-2</v>
      </c>
      <c r="C36" s="61">
        <v>0.39468463003084198</v>
      </c>
      <c r="D36" s="33">
        <f t="shared" si="2"/>
        <v>0.21140481501542099</v>
      </c>
      <c r="E36" s="60">
        <f t="shared" si="3"/>
        <v>0.3053444565631977</v>
      </c>
    </row>
    <row r="37" spans="1:5" x14ac:dyDescent="0.3">
      <c r="A37" s="11" t="s">
        <v>35</v>
      </c>
      <c r="B37" s="61">
        <v>0.24720394736842102</v>
      </c>
      <c r="C37" s="61">
        <v>0.46330012562536654</v>
      </c>
      <c r="D37" s="33">
        <f t="shared" si="2"/>
        <v>0.3552520364968938</v>
      </c>
      <c r="E37" s="60">
        <f t="shared" si="3"/>
        <v>0.5131114918986146</v>
      </c>
    </row>
    <row r="38" spans="1:5" x14ac:dyDescent="0.3">
      <c r="A38" s="11" t="s">
        <v>36</v>
      </c>
      <c r="B38" s="61">
        <v>0.140625</v>
      </c>
      <c r="C38" s="61">
        <v>0.1368458494556643</v>
      </c>
      <c r="D38" s="33">
        <f t="shared" si="2"/>
        <v>0.13873542472783215</v>
      </c>
      <c r="E38" s="60">
        <f t="shared" si="3"/>
        <v>0.20038376546198444</v>
      </c>
    </row>
    <row r="39" spans="1:5" x14ac:dyDescent="0.3">
      <c r="A39" s="11" t="s">
        <v>37</v>
      </c>
      <c r="B39" s="61">
        <v>0.10707236842105262</v>
      </c>
      <c r="C39" s="61">
        <v>0.33314476237912849</v>
      </c>
      <c r="D39" s="33">
        <f t="shared" si="2"/>
        <v>0.22010856540009055</v>
      </c>
      <c r="E39" s="60">
        <f t="shared" si="3"/>
        <v>0.31791579715009388</v>
      </c>
    </row>
    <row r="40" spans="1:5" x14ac:dyDescent="0.3">
      <c r="A40" s="11" t="s">
        <v>38</v>
      </c>
      <c r="B40" s="61">
        <v>0</v>
      </c>
      <c r="C40" s="61">
        <v>0.45620732233947803</v>
      </c>
      <c r="D40" s="33">
        <f t="shared" si="2"/>
        <v>0.22810366116973901</v>
      </c>
      <c r="E40" s="60">
        <f t="shared" si="3"/>
        <v>0.32946358603454268</v>
      </c>
    </row>
    <row r="41" spans="1:5" x14ac:dyDescent="0.3">
      <c r="A41" s="11" t="s">
        <v>39</v>
      </c>
      <c r="B41" s="61">
        <v>0.171875</v>
      </c>
      <c r="C41" s="61">
        <v>0.55912956894796118</v>
      </c>
      <c r="D41" s="33">
        <f t="shared" si="2"/>
        <v>0.36550228447398059</v>
      </c>
      <c r="E41" s="60">
        <f t="shared" si="3"/>
        <v>0.52791653027001251</v>
      </c>
    </row>
    <row r="42" spans="1:5" x14ac:dyDescent="0.3">
      <c r="A42" s="11" t="s">
        <v>40</v>
      </c>
      <c r="B42" s="61">
        <v>5.4440789473684206E-2</v>
      </c>
      <c r="C42" s="61">
        <v>0.56889712521561187</v>
      </c>
      <c r="D42" s="33">
        <f t="shared" si="2"/>
        <v>0.31166895734464806</v>
      </c>
      <c r="E42" s="60">
        <f t="shared" si="3"/>
        <v>0.45016187734928392</v>
      </c>
    </row>
    <row r="43" spans="1:5" x14ac:dyDescent="0.3">
      <c r="A43" s="11" t="s">
        <v>41</v>
      </c>
      <c r="B43" s="61">
        <v>0</v>
      </c>
      <c r="C43" s="61">
        <v>0.39714315771136099</v>
      </c>
      <c r="D43" s="33">
        <f t="shared" si="2"/>
        <v>0.1985715788556805</v>
      </c>
      <c r="E43" s="60">
        <f t="shared" si="3"/>
        <v>0.28680865584902143</v>
      </c>
    </row>
    <row r="44" spans="1:5" x14ac:dyDescent="0.3">
      <c r="A44" s="11" t="s">
        <v>42</v>
      </c>
      <c r="B44" s="61">
        <v>0</v>
      </c>
      <c r="C44" s="61">
        <v>0.23711657580092305</v>
      </c>
      <c r="D44" s="33">
        <f t="shared" si="2"/>
        <v>0.11855828790046152</v>
      </c>
      <c r="E44" s="60">
        <f t="shared" si="3"/>
        <v>0.17124073539852372</v>
      </c>
    </row>
    <row r="45" spans="1:5" x14ac:dyDescent="0.3">
      <c r="A45" s="11" t="s">
        <v>43</v>
      </c>
      <c r="B45" s="61">
        <v>8.0756578947368415E-2</v>
      </c>
      <c r="C45" s="61">
        <v>0.37329596060467019</v>
      </c>
      <c r="D45" s="33">
        <f t="shared" si="2"/>
        <v>0.22702626977601931</v>
      </c>
      <c r="E45" s="60">
        <f t="shared" si="3"/>
        <v>0.32790744603083838</v>
      </c>
    </row>
    <row r="46" spans="1:5" x14ac:dyDescent="0.3">
      <c r="A46" s="11" t="s">
        <v>44</v>
      </c>
      <c r="B46" s="61">
        <v>0.18388157894736842</v>
      </c>
      <c r="C46" s="61">
        <v>0.46688808546450716</v>
      </c>
      <c r="D46" s="33">
        <f t="shared" si="2"/>
        <v>0.32538483220593778</v>
      </c>
      <c r="E46" s="60">
        <f t="shared" si="3"/>
        <v>0.46997252525483818</v>
      </c>
    </row>
    <row r="47" spans="1:5" x14ac:dyDescent="0.3">
      <c r="A47" s="11" t="s">
        <v>45</v>
      </c>
      <c r="B47" s="61">
        <v>2.6315789473684209E-2</v>
      </c>
      <c r="C47" s="61">
        <v>0.33203058867261587</v>
      </c>
      <c r="D47" s="33">
        <f t="shared" si="2"/>
        <v>0.17917318907315005</v>
      </c>
      <c r="E47" s="60">
        <f t="shared" si="3"/>
        <v>0.25879041612295001</v>
      </c>
    </row>
    <row r="48" spans="1:5" x14ac:dyDescent="0.3">
      <c r="A48" s="11" t="s">
        <v>46</v>
      </c>
      <c r="B48" s="61">
        <v>0</v>
      </c>
      <c r="C48" s="61">
        <v>0.5056197109144398</v>
      </c>
      <c r="D48" s="33">
        <f t="shared" si="2"/>
        <v>0.2528098554572199</v>
      </c>
      <c r="E48" s="60">
        <f t="shared" si="3"/>
        <v>0.36514820120239183</v>
      </c>
    </row>
    <row r="49" spans="1:5" x14ac:dyDescent="0.3">
      <c r="A49" s="11" t="s">
        <v>47</v>
      </c>
      <c r="B49" s="61">
        <v>8.2565789473684204E-2</v>
      </c>
      <c r="C49" s="61">
        <v>0.57504520795660041</v>
      </c>
      <c r="D49" s="33">
        <f t="shared" si="2"/>
        <v>0.32880549871514231</v>
      </c>
      <c r="E49" s="60">
        <f t="shared" si="3"/>
        <v>0.47491319586473318</v>
      </c>
    </row>
    <row r="50" spans="1:5" x14ac:dyDescent="0.3">
      <c r="A50" s="11" t="s">
        <v>48</v>
      </c>
      <c r="B50" s="61">
        <v>5.2631578947368418E-2</v>
      </c>
      <c r="C50" s="61">
        <v>0.545065493263585</v>
      </c>
      <c r="D50" s="33">
        <f t="shared" si="2"/>
        <v>0.29884853610547668</v>
      </c>
      <c r="E50" s="60">
        <f t="shared" si="3"/>
        <v>0.43164458598153288</v>
      </c>
    </row>
    <row r="51" spans="1:5" x14ac:dyDescent="0.3">
      <c r="A51" s="11" t="s">
        <v>49</v>
      </c>
      <c r="B51" s="61">
        <v>8.0756578947368415E-2</v>
      </c>
      <c r="C51" s="61">
        <v>0.42452065457686089</v>
      </c>
      <c r="D51" s="33">
        <f t="shared" si="2"/>
        <v>0.25263861676211463</v>
      </c>
      <c r="E51" s="60">
        <f t="shared" si="3"/>
        <v>0.36490087104439284</v>
      </c>
    </row>
    <row r="52" spans="1:5" x14ac:dyDescent="0.3">
      <c r="A52" s="11" t="s">
        <v>50</v>
      </c>
      <c r="B52" s="61">
        <v>2.6315789473684209E-2</v>
      </c>
      <c r="C52" s="61">
        <v>0.32662119903523645</v>
      </c>
      <c r="D52" s="33">
        <f t="shared" si="2"/>
        <v>0.17646849425446032</v>
      </c>
      <c r="E52" s="60">
        <f t="shared" si="3"/>
        <v>0.25488386569966914</v>
      </c>
    </row>
    <row r="53" spans="1:5" x14ac:dyDescent="0.3">
      <c r="A53" s="11" t="s">
        <v>51</v>
      </c>
      <c r="B53" s="61">
        <v>5.6249999999999994E-2</v>
      </c>
      <c r="C53" s="61">
        <v>1.9278479172442894E-2</v>
      </c>
      <c r="D53" s="33">
        <f t="shared" si="2"/>
        <v>3.7764239586221444E-2</v>
      </c>
      <c r="E53" s="60">
        <f t="shared" si="3"/>
        <v>5.4545120995167701E-2</v>
      </c>
    </row>
    <row r="54" spans="1:5" x14ac:dyDescent="0.3">
      <c r="A54" s="11" t="s">
        <v>52</v>
      </c>
      <c r="B54" s="61">
        <v>2.6315789473684209E-2</v>
      </c>
      <c r="C54" s="61">
        <v>0.45963886387559161</v>
      </c>
      <c r="D54" s="33">
        <f t="shared" si="2"/>
        <v>0.24297732667463789</v>
      </c>
      <c r="E54" s="60">
        <f t="shared" si="3"/>
        <v>0.35094649932752914</v>
      </c>
    </row>
    <row r="55" spans="1:5" x14ac:dyDescent="0.3">
      <c r="A55" s="11" t="s">
        <v>53</v>
      </c>
      <c r="B55" s="61">
        <v>0.10888157894736841</v>
      </c>
      <c r="C55" s="61">
        <v>0.5770412281842473</v>
      </c>
      <c r="D55" s="33">
        <f t="shared" si="2"/>
        <v>0.34296140356580784</v>
      </c>
      <c r="E55" s="60">
        <f t="shared" si="3"/>
        <v>0.49535940506517878</v>
      </c>
    </row>
    <row r="56" spans="1:5" x14ac:dyDescent="0.3">
      <c r="A56" s="11" t="s">
        <v>54</v>
      </c>
      <c r="B56" s="61">
        <v>0.25838815789473685</v>
      </c>
      <c r="C56" s="61">
        <v>0.76181310895792287</v>
      </c>
      <c r="D56" s="33">
        <f t="shared" si="2"/>
        <v>0.51010063342632983</v>
      </c>
      <c r="E56" s="60">
        <f t="shared" si="3"/>
        <v>0.73676846336136614</v>
      </c>
    </row>
    <row r="57" spans="1:5" x14ac:dyDescent="0.3">
      <c r="A57" s="11" t="s">
        <v>55</v>
      </c>
      <c r="B57" s="61">
        <v>0.20838815789473683</v>
      </c>
      <c r="C57" s="61">
        <v>0.67301758203066542</v>
      </c>
      <c r="D57" s="33">
        <f t="shared" si="2"/>
        <v>0.44070286996270114</v>
      </c>
      <c r="E57" s="60">
        <f t="shared" si="3"/>
        <v>0.63653317605271464</v>
      </c>
    </row>
    <row r="58" spans="1:5" x14ac:dyDescent="0.3">
      <c r="A58" s="11" t="s">
        <v>56</v>
      </c>
      <c r="B58" s="61">
        <v>5.4440789473684206E-2</v>
      </c>
      <c r="C58" s="61">
        <v>0.41904041664928682</v>
      </c>
      <c r="D58" s="33">
        <f t="shared" si="2"/>
        <v>0.23674060306148551</v>
      </c>
      <c r="E58" s="60">
        <f t="shared" si="3"/>
        <v>0.34193843117045347</v>
      </c>
    </row>
    <row r="59" spans="1:5" x14ac:dyDescent="0.3">
      <c r="A59" s="11" t="s">
        <v>57</v>
      </c>
      <c r="B59" s="61">
        <v>5.2631578947368418E-2</v>
      </c>
      <c r="C59" s="61">
        <v>0.54842779669791752</v>
      </c>
      <c r="D59" s="33">
        <f t="shared" si="2"/>
        <v>0.300529687822643</v>
      </c>
      <c r="E59" s="60">
        <f t="shared" si="3"/>
        <v>0.43407277266895999</v>
      </c>
    </row>
    <row r="60" spans="1:5" x14ac:dyDescent="0.3">
      <c r="A60" s="11" t="s">
        <v>58</v>
      </c>
      <c r="B60" s="61">
        <v>0</v>
      </c>
      <c r="C60" s="61">
        <v>2.3794980996709694E-2</v>
      </c>
      <c r="D60" s="33">
        <f t="shared" si="2"/>
        <v>1.1897490498354847E-2</v>
      </c>
      <c r="E60" s="60">
        <f t="shared" si="3"/>
        <v>1.7184248005046483E-2</v>
      </c>
    </row>
    <row r="61" spans="1:5" x14ac:dyDescent="0.3">
      <c r="A61" s="11" t="s">
        <v>59</v>
      </c>
      <c r="B61" s="61">
        <v>0.12763157894736843</v>
      </c>
      <c r="C61" s="61">
        <v>0.33956197661208998</v>
      </c>
      <c r="D61" s="33">
        <f t="shared" si="2"/>
        <v>0.2335967777797292</v>
      </c>
      <c r="E61" s="60">
        <f t="shared" si="3"/>
        <v>0.33739761869124152</v>
      </c>
    </row>
    <row r="62" spans="1:5" x14ac:dyDescent="0.3">
      <c r="C62" t="s">
        <v>502</v>
      </c>
      <c r="D62" s="62">
        <f>MAX(D2:D61)</f>
        <v>0.69234862618724557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A591-0CFD-4893-8DDB-D33792287D7A}">
  <dimension ref="A1:N69"/>
  <sheetViews>
    <sheetView workbookViewId="0">
      <selection activeCell="M1" sqref="M1:M62"/>
    </sheetView>
  </sheetViews>
  <sheetFormatPr defaultRowHeight="14.4" x14ac:dyDescent="0.3"/>
  <cols>
    <col min="1" max="1" width="18.88671875" customWidth="1"/>
    <col min="2" max="2" width="27.33203125" customWidth="1"/>
    <col min="3" max="3" width="8.77734375" customWidth="1"/>
    <col min="4" max="4" width="30.5546875" customWidth="1"/>
    <col min="5" max="5" width="9.21875" customWidth="1"/>
    <col min="6" max="6" width="6.6640625" customWidth="1"/>
    <col min="7" max="7" width="32.77734375" customWidth="1"/>
    <col min="8" max="8" width="8.33203125" customWidth="1"/>
    <col min="9" max="9" width="16.77734375" customWidth="1"/>
    <col min="10" max="10" width="8.44140625" customWidth="1"/>
    <col min="11" max="11" width="6.44140625" customWidth="1"/>
    <col min="12" max="12" width="6.77734375" customWidth="1"/>
    <col min="13" max="13" width="9.5546875" customWidth="1"/>
    <col min="14" max="14" width="21.88671875" customWidth="1"/>
  </cols>
  <sheetData>
    <row r="1" spans="1:14" x14ac:dyDescent="0.3">
      <c r="A1" s="10" t="s">
        <v>67</v>
      </c>
      <c r="B1" s="64" t="s">
        <v>565</v>
      </c>
      <c r="C1" s="64" t="s">
        <v>573</v>
      </c>
      <c r="D1" s="64" t="s">
        <v>566</v>
      </c>
      <c r="E1" s="64" t="s">
        <v>574</v>
      </c>
      <c r="F1" s="68" t="s">
        <v>575</v>
      </c>
      <c r="G1" s="64" t="s">
        <v>567</v>
      </c>
      <c r="H1" s="64" t="s">
        <v>579</v>
      </c>
      <c r="I1" s="64" t="s">
        <v>568</v>
      </c>
      <c r="J1" s="64" t="s">
        <v>580</v>
      </c>
      <c r="K1" s="68" t="s">
        <v>576</v>
      </c>
      <c r="L1" s="69" t="s">
        <v>577</v>
      </c>
      <c r="M1" s="68" t="s">
        <v>578</v>
      </c>
      <c r="N1" s="63" t="s">
        <v>563</v>
      </c>
    </row>
    <row r="2" spans="1:14" x14ac:dyDescent="0.3">
      <c r="A2" s="11" t="s">
        <v>0</v>
      </c>
      <c r="B2" s="32">
        <v>5.4861351742106201</v>
      </c>
      <c r="C2" s="32">
        <f>B2/$B$62</f>
        <v>0.89235587393465821</v>
      </c>
      <c r="D2" s="32">
        <v>5.3113797677599202</v>
      </c>
      <c r="E2" s="32">
        <f>D2/$D$62</f>
        <v>0.81222273498153896</v>
      </c>
      <c r="F2" s="32">
        <f>(C2+E2)/2</f>
        <v>0.85228930445809858</v>
      </c>
      <c r="G2" s="32">
        <v>5.0320668064332912</v>
      </c>
      <c r="H2" s="32">
        <f>G2/$G$62</f>
        <v>0.77385510460485352</v>
      </c>
      <c r="I2" s="32">
        <v>6.2162334863191431</v>
      </c>
      <c r="J2" s="32">
        <f>I2/$I$62</f>
        <v>0.94900368454221107</v>
      </c>
      <c r="K2" s="32">
        <f>(H2+J2)/2</f>
        <v>0.86142939457353229</v>
      </c>
      <c r="L2" s="32">
        <f>0.5*F2+0.5*K2</f>
        <v>0.85685934951581544</v>
      </c>
      <c r="M2" s="32">
        <f>L2/$L$62</f>
        <v>0.94631252297598589</v>
      </c>
      <c r="N2" s="32">
        <v>5.7780613660487798</v>
      </c>
    </row>
    <row r="3" spans="1:14" x14ac:dyDescent="0.3">
      <c r="A3" s="11" t="s">
        <v>1</v>
      </c>
      <c r="B3" s="32">
        <v>6.0568662039515138</v>
      </c>
      <c r="C3" s="32">
        <f t="shared" ref="C3:C61" si="0">B3/$B$62</f>
        <v>0.985189019792998</v>
      </c>
      <c r="D3" s="32">
        <v>4.9238396542325953</v>
      </c>
      <c r="E3" s="32">
        <f t="shared" ref="E3:E61" si="1">D3/$D$62</f>
        <v>0.75295962357028812</v>
      </c>
      <c r="F3" s="32">
        <f t="shared" ref="F3:F61" si="2">(C3+E3)/2</f>
        <v>0.869074321681643</v>
      </c>
      <c r="G3" s="32">
        <v>5.4605689617972839</v>
      </c>
      <c r="H3" s="32">
        <f t="shared" ref="H3:H61" si="3">G3/$G$62</f>
        <v>0.83975219878465912</v>
      </c>
      <c r="I3" s="32">
        <v>6.0518552227511462</v>
      </c>
      <c r="J3" s="32">
        <f t="shared" ref="J3:J61" si="4">I3/$I$62</f>
        <v>0.92390881348757659</v>
      </c>
      <c r="K3" s="32">
        <f t="shared" ref="K3:K61" si="5">(H3+J3)/2</f>
        <v>0.8818305061361178</v>
      </c>
      <c r="L3" s="32">
        <f t="shared" ref="L3:L61" si="6">0.5*F3+0.5*K3</f>
        <v>0.8754524139088804</v>
      </c>
      <c r="M3" s="32">
        <f t="shared" ref="M3:M61" si="7">L3/$L$62</f>
        <v>0.96684663943932214</v>
      </c>
      <c r="N3" s="32">
        <v>6.1401322284455713</v>
      </c>
    </row>
    <row r="4" spans="1:14" x14ac:dyDescent="0.3">
      <c r="A4" s="11" t="s">
        <v>2</v>
      </c>
      <c r="B4" s="32">
        <v>6.1479229693649513</v>
      </c>
      <c r="C4" s="32">
        <f t="shared" si="0"/>
        <v>1</v>
      </c>
      <c r="D4" s="32">
        <v>4.4194402717761152</v>
      </c>
      <c r="E4" s="32">
        <f t="shared" si="1"/>
        <v>0.67582624884370812</v>
      </c>
      <c r="F4" s="32">
        <f t="shared" si="2"/>
        <v>0.83791312442185406</v>
      </c>
      <c r="G4" s="32">
        <v>5.4612865363918717</v>
      </c>
      <c r="H4" s="32">
        <f t="shared" si="3"/>
        <v>0.83986255080984418</v>
      </c>
      <c r="I4" s="32">
        <v>6.3223565922521381</v>
      </c>
      <c r="J4" s="32">
        <f t="shared" si="4"/>
        <v>0.96520500947106447</v>
      </c>
      <c r="K4" s="32">
        <f t="shared" si="5"/>
        <v>0.90253378014045427</v>
      </c>
      <c r="L4" s="32">
        <f t="shared" si="6"/>
        <v>0.87022345228115416</v>
      </c>
      <c r="M4" s="32">
        <f t="shared" si="7"/>
        <v>0.96107179217497896</v>
      </c>
      <c r="N4" s="32">
        <v>5.3568032661932738</v>
      </c>
    </row>
    <row r="5" spans="1:14" x14ac:dyDescent="0.3">
      <c r="A5" s="11" t="s">
        <v>3</v>
      </c>
      <c r="B5" s="32">
        <v>5.500470161834464</v>
      </c>
      <c r="C5" s="32">
        <f t="shared" si="0"/>
        <v>0.89468755370606634</v>
      </c>
      <c r="D5" s="32">
        <v>3.7236933402527295</v>
      </c>
      <c r="E5" s="32">
        <f t="shared" si="1"/>
        <v>0.56943177127177769</v>
      </c>
      <c r="F5" s="32">
        <f t="shared" si="2"/>
        <v>0.73205966248892196</v>
      </c>
      <c r="G5" s="32">
        <v>3.3977659412897241</v>
      </c>
      <c r="H5" s="32">
        <f t="shared" si="3"/>
        <v>0.52252456476889686</v>
      </c>
      <c r="I5" s="32">
        <v>5.2884613852974871</v>
      </c>
      <c r="J5" s="32">
        <f t="shared" si="4"/>
        <v>0.80736499863654831</v>
      </c>
      <c r="K5" s="32">
        <f t="shared" si="5"/>
        <v>0.66494478170272253</v>
      </c>
      <c r="L5" s="32">
        <f t="shared" si="6"/>
        <v>0.69850222209582224</v>
      </c>
      <c r="M5" s="32">
        <f t="shared" si="7"/>
        <v>0.77142345528392886</v>
      </c>
      <c r="N5" s="32">
        <v>4.9577891126024438</v>
      </c>
    </row>
    <row r="6" spans="1:14" x14ac:dyDescent="0.3">
      <c r="A6" s="11" t="s">
        <v>4</v>
      </c>
      <c r="B6" s="32">
        <v>5.2438916623503822</v>
      </c>
      <c r="C6" s="32">
        <f t="shared" si="0"/>
        <v>0.85295337766602641</v>
      </c>
      <c r="D6" s="32">
        <v>4.7905969842704037</v>
      </c>
      <c r="E6" s="32">
        <f t="shared" si="1"/>
        <v>0.7325839903930399</v>
      </c>
      <c r="F6" s="32">
        <f t="shared" si="2"/>
        <v>0.79276868402953315</v>
      </c>
      <c r="G6" s="32">
        <v>4.5978593945684079</v>
      </c>
      <c r="H6" s="32">
        <f t="shared" si="3"/>
        <v>0.70708062901575319</v>
      </c>
      <c r="I6" s="32">
        <v>5.8478642994091237</v>
      </c>
      <c r="J6" s="32">
        <f t="shared" si="4"/>
        <v>0.89276646043877284</v>
      </c>
      <c r="K6" s="32">
        <f t="shared" si="5"/>
        <v>0.79992354472726301</v>
      </c>
      <c r="L6" s="32">
        <f t="shared" si="6"/>
        <v>0.79634611437839808</v>
      </c>
      <c r="M6" s="32">
        <f t="shared" si="7"/>
        <v>0.87948191390497921</v>
      </c>
      <c r="N6" s="32">
        <v>5.7897409645721165</v>
      </c>
    </row>
    <row r="7" spans="1:14" x14ac:dyDescent="0.3">
      <c r="A7" s="11" t="s">
        <v>5</v>
      </c>
      <c r="B7" s="32">
        <v>4.3833175989178574</v>
      </c>
      <c r="C7" s="32">
        <f t="shared" si="0"/>
        <v>0.71297536107070503</v>
      </c>
      <c r="D7" s="32">
        <v>3.1340170383739907</v>
      </c>
      <c r="E7" s="32">
        <f t="shared" si="1"/>
        <v>0.47925774500971924</v>
      </c>
      <c r="F7" s="32">
        <f t="shared" si="2"/>
        <v>0.59611655304021216</v>
      </c>
      <c r="G7" s="32">
        <v>2.2199437577779886</v>
      </c>
      <c r="H7" s="32">
        <f t="shared" si="3"/>
        <v>0.34139348203722042</v>
      </c>
      <c r="I7" s="32">
        <v>4.8675052163166734</v>
      </c>
      <c r="J7" s="32">
        <f t="shared" si="4"/>
        <v>0.74309956261765164</v>
      </c>
      <c r="K7" s="32">
        <f t="shared" si="5"/>
        <v>0.54224652232743598</v>
      </c>
      <c r="L7" s="32">
        <f t="shared" si="6"/>
        <v>0.56918153768382407</v>
      </c>
      <c r="M7" s="32">
        <f t="shared" si="7"/>
        <v>0.62860213553285049</v>
      </c>
      <c r="N7" s="32">
        <v>2.7736138805067241</v>
      </c>
    </row>
    <row r="8" spans="1:14" x14ac:dyDescent="0.3">
      <c r="A8" s="11" t="s">
        <v>6</v>
      </c>
      <c r="B8" s="32">
        <v>5.8547400455324361</v>
      </c>
      <c r="C8" s="32">
        <f t="shared" si="0"/>
        <v>0.95231187422265318</v>
      </c>
      <c r="D8" s="32">
        <v>5.1273828446748295</v>
      </c>
      <c r="E8" s="32">
        <f t="shared" si="1"/>
        <v>0.78408569891352886</v>
      </c>
      <c r="F8" s="32">
        <f t="shared" si="2"/>
        <v>0.86819878656809102</v>
      </c>
      <c r="G8" s="32">
        <v>4.068464712182406</v>
      </c>
      <c r="H8" s="32">
        <f t="shared" si="3"/>
        <v>0.62566780341667327</v>
      </c>
      <c r="I8" s="32">
        <v>6.1564536098309439</v>
      </c>
      <c r="J8" s="32">
        <f t="shared" si="4"/>
        <v>0.93987736662419274</v>
      </c>
      <c r="K8" s="32">
        <f t="shared" si="5"/>
        <v>0.78277258502043301</v>
      </c>
      <c r="L8" s="32">
        <f t="shared" si="6"/>
        <v>0.82548568579426207</v>
      </c>
      <c r="M8" s="32">
        <f t="shared" si="7"/>
        <v>0.91166355650544462</v>
      </c>
      <c r="N8" s="32">
        <v>5.5686974435827015</v>
      </c>
    </row>
    <row r="9" spans="1:14" x14ac:dyDescent="0.3">
      <c r="A9" s="11" t="s">
        <v>7</v>
      </c>
      <c r="B9" s="32">
        <v>5.3388492078740679</v>
      </c>
      <c r="C9" s="32">
        <f t="shared" si="0"/>
        <v>0.86839884534622647</v>
      </c>
      <c r="D9" s="32">
        <v>6.079248248351437</v>
      </c>
      <c r="E9" s="32">
        <f t="shared" si="1"/>
        <v>0.92964612865372565</v>
      </c>
      <c r="F9" s="32">
        <f t="shared" si="2"/>
        <v>0.89902248699997611</v>
      </c>
      <c r="G9" s="32">
        <v>2.9303830131000286</v>
      </c>
      <c r="H9" s="32">
        <f t="shared" si="3"/>
        <v>0.45064820090139851</v>
      </c>
      <c r="I9" s="32">
        <v>6.0296970993399279</v>
      </c>
      <c r="J9" s="32">
        <f t="shared" si="4"/>
        <v>0.92052603502436947</v>
      </c>
      <c r="K9" s="32">
        <f t="shared" si="5"/>
        <v>0.68558711796288396</v>
      </c>
      <c r="L9" s="32">
        <f t="shared" si="6"/>
        <v>0.79230480248143009</v>
      </c>
      <c r="M9" s="32">
        <f t="shared" si="7"/>
        <v>0.87501870292465478</v>
      </c>
      <c r="N9" s="32">
        <v>5.9830916423234015</v>
      </c>
    </row>
    <row r="10" spans="1:14" x14ac:dyDescent="0.3">
      <c r="A10" s="11" t="s">
        <v>8</v>
      </c>
      <c r="B10" s="32">
        <v>5.5193582647519825</v>
      </c>
      <c r="C10" s="32">
        <f t="shared" si="0"/>
        <v>0.89775982754743322</v>
      </c>
      <c r="D10" s="32">
        <v>3.7278546977971168</v>
      </c>
      <c r="E10" s="32">
        <f t="shared" si="1"/>
        <v>0.57006813119212352</v>
      </c>
      <c r="F10" s="32">
        <f t="shared" si="2"/>
        <v>0.73391397936977842</v>
      </c>
      <c r="G10" s="32">
        <v>5.9537918455031331</v>
      </c>
      <c r="H10" s="32">
        <f t="shared" si="3"/>
        <v>0.91560235359097675</v>
      </c>
      <c r="I10" s="32">
        <v>5.8519042905145673</v>
      </c>
      <c r="J10" s="32">
        <f t="shared" si="4"/>
        <v>0.89338322724024855</v>
      </c>
      <c r="K10" s="32">
        <f t="shared" si="5"/>
        <v>0.90449279041561259</v>
      </c>
      <c r="L10" s="32">
        <f t="shared" si="6"/>
        <v>0.81920338489269551</v>
      </c>
      <c r="M10" s="32">
        <f t="shared" si="7"/>
        <v>0.90472540496445353</v>
      </c>
      <c r="N10" s="32">
        <v>5.2957578975555188</v>
      </c>
    </row>
    <row r="11" spans="1:14" x14ac:dyDescent="0.3">
      <c r="A11" s="11" t="s">
        <v>9</v>
      </c>
      <c r="B11" s="32">
        <v>4.8899117015016671</v>
      </c>
      <c r="C11" s="32">
        <f t="shared" si="0"/>
        <v>0.79537621500270195</v>
      </c>
      <c r="D11" s="32">
        <v>3.7612050972236837</v>
      </c>
      <c r="E11" s="32">
        <f t="shared" si="1"/>
        <v>0.57516811534302092</v>
      </c>
      <c r="F11" s="32">
        <f t="shared" si="2"/>
        <v>0.68527216517286149</v>
      </c>
      <c r="G11" s="32">
        <v>2.1758322524968037</v>
      </c>
      <c r="H11" s="32">
        <f t="shared" si="3"/>
        <v>0.33460980549898223</v>
      </c>
      <c r="I11" s="32">
        <v>5.6830843235955486</v>
      </c>
      <c r="J11" s="32">
        <f t="shared" si="4"/>
        <v>0.86761026182911349</v>
      </c>
      <c r="K11" s="32">
        <f t="shared" si="5"/>
        <v>0.6011100336640478</v>
      </c>
      <c r="L11" s="32">
        <f t="shared" si="6"/>
        <v>0.64319109941845465</v>
      </c>
      <c r="M11" s="32">
        <f t="shared" si="7"/>
        <v>0.71033804134868894</v>
      </c>
      <c r="N11" s="32">
        <v>4.8675755758865069</v>
      </c>
    </row>
    <row r="12" spans="1:14" x14ac:dyDescent="0.3">
      <c r="A12" s="11" t="s">
        <v>10</v>
      </c>
      <c r="B12" s="32">
        <v>4.4913270049010867</v>
      </c>
      <c r="C12" s="32">
        <f t="shared" si="0"/>
        <v>0.73054379947200565</v>
      </c>
      <c r="D12" s="32">
        <v>5.0221878223726151</v>
      </c>
      <c r="E12" s="32">
        <f t="shared" si="1"/>
        <v>0.76799914655676071</v>
      </c>
      <c r="F12" s="32">
        <f t="shared" si="2"/>
        <v>0.74927147301438324</v>
      </c>
      <c r="G12" s="32">
        <v>5.3200034970406858</v>
      </c>
      <c r="H12" s="32">
        <f t="shared" si="3"/>
        <v>0.81813537480013254</v>
      </c>
      <c r="I12" s="32">
        <v>6.0852898373752726</v>
      </c>
      <c r="J12" s="32">
        <f t="shared" si="4"/>
        <v>0.92901312183432327</v>
      </c>
      <c r="K12" s="32">
        <f t="shared" si="5"/>
        <v>0.87357424831722796</v>
      </c>
      <c r="L12" s="32">
        <f t="shared" si="6"/>
        <v>0.8114228606658056</v>
      </c>
      <c r="M12" s="32">
        <f t="shared" si="7"/>
        <v>0.8961326207281789</v>
      </c>
      <c r="N12" s="32">
        <v>6.0169272905046753</v>
      </c>
    </row>
    <row r="13" spans="1:14" x14ac:dyDescent="0.3">
      <c r="A13" s="11" t="s">
        <v>11</v>
      </c>
      <c r="B13" s="32">
        <v>5.2938407640543508</v>
      </c>
      <c r="C13" s="32">
        <f t="shared" si="0"/>
        <v>0.8610779267133819</v>
      </c>
      <c r="D13" s="32">
        <v>4.3488060063536391</v>
      </c>
      <c r="E13" s="32">
        <f t="shared" si="1"/>
        <v>0.66502476999011606</v>
      </c>
      <c r="F13" s="32">
        <f t="shared" si="2"/>
        <v>0.76305134835174893</v>
      </c>
      <c r="G13" s="32">
        <v>4.6248832601983736</v>
      </c>
      <c r="H13" s="32">
        <f t="shared" si="3"/>
        <v>0.71123648726810562</v>
      </c>
      <c r="I13" s="32">
        <v>6.0173276764466692</v>
      </c>
      <c r="J13" s="32">
        <f t="shared" si="4"/>
        <v>0.91863765230399741</v>
      </c>
      <c r="K13" s="32">
        <f t="shared" si="5"/>
        <v>0.81493706978605152</v>
      </c>
      <c r="L13" s="32">
        <f t="shared" si="6"/>
        <v>0.78899420906890017</v>
      </c>
      <c r="M13" s="32">
        <f t="shared" si="7"/>
        <v>0.87136249492910789</v>
      </c>
      <c r="N13" s="32">
        <v>6.5481247116768415</v>
      </c>
    </row>
    <row r="14" spans="1:14" x14ac:dyDescent="0.3">
      <c r="A14" s="11" t="s">
        <v>12</v>
      </c>
      <c r="B14" s="32">
        <v>4.1849258230726116</v>
      </c>
      <c r="C14" s="32">
        <f t="shared" si="0"/>
        <v>0.68070563732272871</v>
      </c>
      <c r="D14" s="32">
        <v>4.0545662877724782</v>
      </c>
      <c r="E14" s="32">
        <f t="shared" si="1"/>
        <v>0.62002926987226581</v>
      </c>
      <c r="F14" s="32">
        <f t="shared" si="2"/>
        <v>0.65036745359749726</v>
      </c>
      <c r="G14" s="32">
        <v>2.7934711266569114</v>
      </c>
      <c r="H14" s="32">
        <f t="shared" si="3"/>
        <v>0.42959324152175882</v>
      </c>
      <c r="I14" s="32">
        <v>5.6360010890214625</v>
      </c>
      <c r="J14" s="32">
        <f t="shared" si="4"/>
        <v>0.86042228164958667</v>
      </c>
      <c r="K14" s="32">
        <f t="shared" si="5"/>
        <v>0.64500776158567275</v>
      </c>
      <c r="L14" s="32">
        <f t="shared" si="6"/>
        <v>0.64768760759158495</v>
      </c>
      <c r="M14" s="32">
        <f t="shared" si="7"/>
        <v>0.71530396953317044</v>
      </c>
      <c r="N14" s="32">
        <v>5.8782089169502587</v>
      </c>
    </row>
    <row r="15" spans="1:14" x14ac:dyDescent="0.3">
      <c r="A15" s="11" t="s">
        <v>13</v>
      </c>
      <c r="B15" s="32">
        <v>5.2646452860271413</v>
      </c>
      <c r="C15" s="32">
        <f t="shared" si="0"/>
        <v>0.85632909069629282</v>
      </c>
      <c r="D15" s="32">
        <v>4.571616332483738</v>
      </c>
      <c r="E15" s="32">
        <f t="shared" si="1"/>
        <v>0.69909719944997417</v>
      </c>
      <c r="F15" s="32">
        <f t="shared" si="2"/>
        <v>0.77771314507313349</v>
      </c>
      <c r="G15" s="32">
        <v>1.9500861011399586</v>
      </c>
      <c r="H15" s="32">
        <f t="shared" si="3"/>
        <v>0.29989349144904665</v>
      </c>
      <c r="I15" s="32">
        <v>6.0961873573464427</v>
      </c>
      <c r="J15" s="32">
        <f t="shared" si="4"/>
        <v>0.93067679592696684</v>
      </c>
      <c r="K15" s="32">
        <f t="shared" si="5"/>
        <v>0.61528514368800669</v>
      </c>
      <c r="L15" s="32">
        <f t="shared" si="6"/>
        <v>0.69649914438057015</v>
      </c>
      <c r="M15" s="32">
        <f t="shared" si="7"/>
        <v>0.76921126313418065</v>
      </c>
      <c r="N15" s="32">
        <v>6.5161591854737493</v>
      </c>
    </row>
    <row r="16" spans="1:14" x14ac:dyDescent="0.3">
      <c r="A16" s="11" t="s">
        <v>14</v>
      </c>
      <c r="B16" s="32">
        <v>5.4338178898214</v>
      </c>
      <c r="C16" s="32">
        <f t="shared" si="0"/>
        <v>0.88384612443878507</v>
      </c>
      <c r="D16" s="32">
        <v>6.3320889343823561</v>
      </c>
      <c r="E16" s="32">
        <f t="shared" si="1"/>
        <v>0.96831083773161819</v>
      </c>
      <c r="F16" s="32">
        <f t="shared" si="2"/>
        <v>0.92607848108520163</v>
      </c>
      <c r="G16" s="32">
        <v>3.3033210180955539</v>
      </c>
      <c r="H16" s="32">
        <f t="shared" si="3"/>
        <v>0.50800037645240159</v>
      </c>
      <c r="I16" s="32">
        <v>6.5077775216201923</v>
      </c>
      <c r="J16" s="32">
        <f t="shared" si="4"/>
        <v>0.99351236722215175</v>
      </c>
      <c r="K16" s="32">
        <f t="shared" si="5"/>
        <v>0.75075637183727673</v>
      </c>
      <c r="L16" s="32">
        <f t="shared" si="6"/>
        <v>0.83841742646123918</v>
      </c>
      <c r="M16" s="32">
        <f t="shared" si="7"/>
        <v>0.92594532648782646</v>
      </c>
      <c r="N16" s="32">
        <v>6.1795453814631838</v>
      </c>
    </row>
    <row r="17" spans="1:14" x14ac:dyDescent="0.3">
      <c r="A17" s="11" t="s">
        <v>15</v>
      </c>
      <c r="B17" s="32">
        <v>4.5912035327348777</v>
      </c>
      <c r="C17" s="32">
        <f t="shared" si="0"/>
        <v>0.74678937189239458</v>
      </c>
      <c r="D17" s="32">
        <v>4.4320595061430321</v>
      </c>
      <c r="E17" s="32">
        <f t="shared" si="1"/>
        <v>0.67775599770352146</v>
      </c>
      <c r="F17" s="32">
        <f t="shared" si="2"/>
        <v>0.71227268479795802</v>
      </c>
      <c r="G17" s="32">
        <v>1.595085982360045</v>
      </c>
      <c r="H17" s="32">
        <f t="shared" si="3"/>
        <v>0.24529988913400008</v>
      </c>
      <c r="I17" s="32">
        <v>3.843163658267855</v>
      </c>
      <c r="J17" s="32">
        <f t="shared" si="4"/>
        <v>0.5867180632808795</v>
      </c>
      <c r="K17" s="32">
        <f t="shared" si="5"/>
        <v>0.41600897620743982</v>
      </c>
      <c r="L17" s="32">
        <f t="shared" si="6"/>
        <v>0.56414083050269892</v>
      </c>
      <c r="M17" s="32">
        <f t="shared" si="7"/>
        <v>0.62303519583282951</v>
      </c>
      <c r="N17" s="32">
        <v>5.0621300976175441</v>
      </c>
    </row>
    <row r="18" spans="1:14" x14ac:dyDescent="0.3">
      <c r="A18" s="11" t="s">
        <v>16</v>
      </c>
      <c r="B18" s="32">
        <v>5.3667349811616818</v>
      </c>
      <c r="C18" s="32">
        <f t="shared" si="0"/>
        <v>0.87293464929604314</v>
      </c>
      <c r="D18" s="32">
        <v>3.7405918045234423</v>
      </c>
      <c r="E18" s="32">
        <f t="shared" si="1"/>
        <v>0.57201590523829593</v>
      </c>
      <c r="F18" s="32">
        <f t="shared" si="2"/>
        <v>0.72247527726716954</v>
      </c>
      <c r="G18" s="32">
        <v>4.0832824644929788</v>
      </c>
      <c r="H18" s="32">
        <f t="shared" si="3"/>
        <v>0.62794654765942604</v>
      </c>
      <c r="I18" s="32">
        <v>6.0452667771209514</v>
      </c>
      <c r="J18" s="32">
        <f t="shared" si="4"/>
        <v>0.92290298589242248</v>
      </c>
      <c r="K18" s="32">
        <f t="shared" si="5"/>
        <v>0.7754247667759242</v>
      </c>
      <c r="L18" s="32">
        <f t="shared" si="6"/>
        <v>0.74895002202154681</v>
      </c>
      <c r="M18" s="32">
        <f t="shared" si="7"/>
        <v>0.82713783227389359</v>
      </c>
      <c r="N18" s="32">
        <v>5.9693896210542405</v>
      </c>
    </row>
    <row r="19" spans="1:14" x14ac:dyDescent="0.3">
      <c r="A19" s="11" t="s">
        <v>17</v>
      </c>
      <c r="B19" s="32">
        <v>4.0359859822021722</v>
      </c>
      <c r="C19" s="32">
        <f t="shared" si="0"/>
        <v>0.65647959519230425</v>
      </c>
      <c r="D19" s="32">
        <v>3.6532055860610213</v>
      </c>
      <c r="E19" s="32">
        <f t="shared" si="1"/>
        <v>0.55865269709602128</v>
      </c>
      <c r="F19" s="32">
        <f t="shared" si="2"/>
        <v>0.60756614614416282</v>
      </c>
      <c r="G19" s="32">
        <v>2.2020083200692717</v>
      </c>
      <c r="H19" s="32">
        <f t="shared" si="3"/>
        <v>0.3386352853442694</v>
      </c>
      <c r="I19" s="32">
        <v>5.1808139996132594</v>
      </c>
      <c r="J19" s="32">
        <f t="shared" si="4"/>
        <v>0.79093096895112858</v>
      </c>
      <c r="K19" s="32">
        <f t="shared" si="5"/>
        <v>0.56478312714769896</v>
      </c>
      <c r="L19" s="32">
        <f t="shared" si="6"/>
        <v>0.58617463664593084</v>
      </c>
      <c r="M19" s="32">
        <f t="shared" si="7"/>
        <v>0.64736925566884318</v>
      </c>
      <c r="N19" s="32">
        <v>6.1937600000000002</v>
      </c>
    </row>
    <row r="20" spans="1:14" x14ac:dyDescent="0.3">
      <c r="A20" s="11" t="s">
        <v>18</v>
      </c>
      <c r="B20" s="32">
        <v>3.6452297461433121</v>
      </c>
      <c r="C20" s="32">
        <f t="shared" si="0"/>
        <v>0.5929205301217112</v>
      </c>
      <c r="D20" s="32">
        <v>3.3309838420247964</v>
      </c>
      <c r="E20" s="32">
        <f t="shared" si="1"/>
        <v>0.50937815118607921</v>
      </c>
      <c r="F20" s="32">
        <f t="shared" si="2"/>
        <v>0.5511493406538952</v>
      </c>
      <c r="G20" s="32">
        <v>2.3125325486540405</v>
      </c>
      <c r="H20" s="32">
        <f t="shared" si="3"/>
        <v>0.35563222552071755</v>
      </c>
      <c r="I20" s="32">
        <v>4.4092021317967864</v>
      </c>
      <c r="J20" s="32">
        <f t="shared" si="4"/>
        <v>0.6731325453227508</v>
      </c>
      <c r="K20" s="32">
        <f t="shared" si="5"/>
        <v>0.5143823854217342</v>
      </c>
      <c r="L20" s="32">
        <f t="shared" si="6"/>
        <v>0.5327658630378147</v>
      </c>
      <c r="M20" s="32">
        <f t="shared" si="7"/>
        <v>0.58838478951263096</v>
      </c>
      <c r="N20" s="32">
        <v>5.7483508616716836</v>
      </c>
    </row>
    <row r="21" spans="1:14" x14ac:dyDescent="0.3">
      <c r="A21" s="11" t="s">
        <v>19</v>
      </c>
      <c r="B21" s="32">
        <v>4.580240913857871</v>
      </c>
      <c r="C21" s="32">
        <f t="shared" si="0"/>
        <v>0.74500623001966249</v>
      </c>
      <c r="D21" s="32">
        <v>3.8547749404925056</v>
      </c>
      <c r="E21" s="32">
        <f t="shared" si="1"/>
        <v>0.58947693100574461</v>
      </c>
      <c r="F21" s="32">
        <f t="shared" si="2"/>
        <v>0.66724158051270355</v>
      </c>
      <c r="G21" s="32">
        <v>2.7607571349302673</v>
      </c>
      <c r="H21" s="32">
        <f t="shared" si="3"/>
        <v>0.42456232868544685</v>
      </c>
      <c r="I21" s="32">
        <v>4.4515462836081738</v>
      </c>
      <c r="J21" s="32">
        <f t="shared" si="4"/>
        <v>0.67959703160311036</v>
      </c>
      <c r="K21" s="32">
        <f t="shared" si="5"/>
        <v>0.55207968014427866</v>
      </c>
      <c r="L21" s="32">
        <f t="shared" si="6"/>
        <v>0.60966063032849105</v>
      </c>
      <c r="M21" s="32">
        <f t="shared" si="7"/>
        <v>0.67330710643618363</v>
      </c>
      <c r="N21" s="32">
        <v>5.3744819186483523</v>
      </c>
    </row>
    <row r="22" spans="1:14" x14ac:dyDescent="0.3">
      <c r="A22" s="11" t="s">
        <v>20</v>
      </c>
      <c r="B22" s="32">
        <v>4.3446017415895897</v>
      </c>
      <c r="C22" s="32">
        <f t="shared" si="0"/>
        <v>0.70667797290868861</v>
      </c>
      <c r="D22" s="32">
        <v>3.9712664747858857</v>
      </c>
      <c r="E22" s="32">
        <f t="shared" si="1"/>
        <v>0.60729095988771054</v>
      </c>
      <c r="F22" s="32">
        <f t="shared" si="2"/>
        <v>0.65698446639819963</v>
      </c>
      <c r="G22" s="32">
        <v>1.8956868196069039</v>
      </c>
      <c r="H22" s="32">
        <f t="shared" si="3"/>
        <v>0.29152771187565718</v>
      </c>
      <c r="I22" s="32">
        <v>4.8129894652335548</v>
      </c>
      <c r="J22" s="32">
        <f t="shared" si="4"/>
        <v>0.73477689443645688</v>
      </c>
      <c r="K22" s="32">
        <f t="shared" si="5"/>
        <v>0.51315230315605698</v>
      </c>
      <c r="L22" s="32">
        <f t="shared" si="6"/>
        <v>0.5850683847771283</v>
      </c>
      <c r="M22" s="32">
        <f t="shared" si="7"/>
        <v>0.64614751490403155</v>
      </c>
      <c r="N22" s="32">
        <v>5.7743203390687681</v>
      </c>
    </row>
    <row r="23" spans="1:14" x14ac:dyDescent="0.3">
      <c r="A23" s="11" t="s">
        <v>21</v>
      </c>
      <c r="B23" s="32">
        <v>3.6820508995657497</v>
      </c>
      <c r="C23" s="32">
        <f t="shared" si="0"/>
        <v>0.59890973226460031</v>
      </c>
      <c r="D23" s="32">
        <v>4.938326343438316</v>
      </c>
      <c r="E23" s="32">
        <f t="shared" si="1"/>
        <v>0.75517494592379786</v>
      </c>
      <c r="F23" s="32">
        <f t="shared" si="2"/>
        <v>0.67704233909419909</v>
      </c>
      <c r="G23" s="32">
        <v>2.7052834578804954</v>
      </c>
      <c r="H23" s="32">
        <f t="shared" si="3"/>
        <v>0.4160313234727806</v>
      </c>
      <c r="I23" s="32">
        <v>5.8216053499186406</v>
      </c>
      <c r="J23" s="32">
        <f t="shared" si="4"/>
        <v>0.88875762777933032</v>
      </c>
      <c r="K23" s="32">
        <f t="shared" si="5"/>
        <v>0.65239447562605546</v>
      </c>
      <c r="L23" s="32">
        <f t="shared" si="6"/>
        <v>0.66471840736012733</v>
      </c>
      <c r="M23" s="32">
        <f t="shared" si="7"/>
        <v>0.73411272631031832</v>
      </c>
      <c r="N23" s="32">
        <v>6.2641033355421012</v>
      </c>
    </row>
    <row r="24" spans="1:14" x14ac:dyDescent="0.3">
      <c r="A24" s="11" t="s">
        <v>22</v>
      </c>
      <c r="B24" s="32">
        <v>5.9355144063608192</v>
      </c>
      <c r="C24" s="32">
        <f t="shared" si="0"/>
        <v>0.96545035387356637</v>
      </c>
      <c r="D24" s="32">
        <v>6.5393143272216365</v>
      </c>
      <c r="E24" s="32">
        <f t="shared" si="1"/>
        <v>1</v>
      </c>
      <c r="F24" s="32">
        <f t="shared" si="2"/>
        <v>0.98272517693678318</v>
      </c>
      <c r="G24" s="32">
        <v>4.4072782185608066</v>
      </c>
      <c r="H24" s="32">
        <f t="shared" si="3"/>
        <v>0.67777215169058569</v>
      </c>
      <c r="I24" s="32">
        <v>6.4105224800736185</v>
      </c>
      <c r="J24" s="32">
        <f t="shared" si="4"/>
        <v>0.97866488876576319</v>
      </c>
      <c r="K24" s="32">
        <f t="shared" si="5"/>
        <v>0.82821852022817444</v>
      </c>
      <c r="L24" s="32">
        <f t="shared" si="6"/>
        <v>0.90547184858247887</v>
      </c>
      <c r="M24" s="32">
        <f t="shared" si="7"/>
        <v>1</v>
      </c>
      <c r="N24" s="32">
        <v>6.8159603171857954</v>
      </c>
    </row>
    <row r="25" spans="1:14" x14ac:dyDescent="0.3">
      <c r="A25" s="11" t="s">
        <v>23</v>
      </c>
      <c r="B25" s="32">
        <v>3.2297082564112278</v>
      </c>
      <c r="C25" s="32">
        <f t="shared" si="0"/>
        <v>0.52533323408650967</v>
      </c>
      <c r="D25" s="32">
        <v>3.3317614419559427</v>
      </c>
      <c r="E25" s="32">
        <f t="shared" si="1"/>
        <v>0.50949706272515438</v>
      </c>
      <c r="F25" s="32">
        <f t="shared" si="2"/>
        <v>0.51741514840583203</v>
      </c>
      <c r="G25" s="32">
        <v>3.0054844864460222</v>
      </c>
      <c r="H25" s="32">
        <f t="shared" si="3"/>
        <v>0.46219766173881055</v>
      </c>
      <c r="I25" s="32">
        <v>4.9009218230582627</v>
      </c>
      <c r="J25" s="32">
        <f t="shared" si="4"/>
        <v>0.74820112178406006</v>
      </c>
      <c r="K25" s="32">
        <f t="shared" si="5"/>
        <v>0.60519939176143533</v>
      </c>
      <c r="L25" s="32">
        <f t="shared" si="6"/>
        <v>0.56130727008363368</v>
      </c>
      <c r="M25" s="32">
        <f t="shared" si="7"/>
        <v>0.61990582143703665</v>
      </c>
      <c r="N25" s="32">
        <v>5.9775212543480771</v>
      </c>
    </row>
    <row r="26" spans="1:14" x14ac:dyDescent="0.3">
      <c r="A26" s="11" t="s">
        <v>24</v>
      </c>
      <c r="B26" s="32">
        <v>3.1931529536054404</v>
      </c>
      <c r="C26" s="32">
        <f t="shared" si="0"/>
        <v>0.51938727429034082</v>
      </c>
      <c r="D26" s="32">
        <v>2.8249723936412017</v>
      </c>
      <c r="E26" s="32">
        <f t="shared" si="1"/>
        <v>0.43199825735268638</v>
      </c>
      <c r="F26" s="32">
        <f t="shared" si="2"/>
        <v>0.4756927658215136</v>
      </c>
      <c r="G26" s="32">
        <v>3.1396328497904378</v>
      </c>
      <c r="H26" s="32">
        <f t="shared" si="3"/>
        <v>0.4828276334267349</v>
      </c>
      <c r="I26" s="32">
        <v>5.4180483788383329</v>
      </c>
      <c r="J26" s="32">
        <f t="shared" si="4"/>
        <v>0.82714844702368895</v>
      </c>
      <c r="K26" s="32">
        <f t="shared" si="5"/>
        <v>0.65498804022521195</v>
      </c>
      <c r="L26" s="32">
        <f t="shared" si="6"/>
        <v>0.56534040302336275</v>
      </c>
      <c r="M26" s="32">
        <f t="shared" si="7"/>
        <v>0.62435999960507471</v>
      </c>
      <c r="N26" s="32">
        <v>5.6872815235570773</v>
      </c>
    </row>
    <row r="27" spans="1:14" x14ac:dyDescent="0.3">
      <c r="A27" s="11" t="s">
        <v>25</v>
      </c>
      <c r="B27" s="32">
        <v>2.9491545825390677</v>
      </c>
      <c r="C27" s="32">
        <f t="shared" si="0"/>
        <v>0.47969933866033787</v>
      </c>
      <c r="D27" s="32">
        <v>2.6919181927201983</v>
      </c>
      <c r="E27" s="32">
        <f t="shared" si="1"/>
        <v>0.41165144509331386</v>
      </c>
      <c r="F27" s="32">
        <f t="shared" si="2"/>
        <v>0.44567539187682587</v>
      </c>
      <c r="G27" s="32">
        <v>2.6901331830419033</v>
      </c>
      <c r="H27" s="32">
        <f t="shared" si="3"/>
        <v>0.41370144233824913</v>
      </c>
      <c r="I27" s="32">
        <v>4.2799567288712286</v>
      </c>
      <c r="J27" s="32">
        <f t="shared" si="4"/>
        <v>0.65340124599874083</v>
      </c>
      <c r="K27" s="32">
        <f t="shared" si="5"/>
        <v>0.53355134416849492</v>
      </c>
      <c r="L27" s="32">
        <f t="shared" si="6"/>
        <v>0.48961336802266042</v>
      </c>
      <c r="M27" s="32">
        <f t="shared" si="7"/>
        <v>0.54072732221233921</v>
      </c>
      <c r="N27" s="32">
        <v>5.1707876173668526</v>
      </c>
    </row>
    <row r="28" spans="1:14" x14ac:dyDescent="0.3">
      <c r="A28" s="11" t="s">
        <v>26</v>
      </c>
      <c r="B28" s="32">
        <v>3.6878176419811828</v>
      </c>
      <c r="C28" s="32">
        <f t="shared" si="0"/>
        <v>0.59984773074704212</v>
      </c>
      <c r="D28" s="32">
        <v>3.3270311531030892</v>
      </c>
      <c r="E28" s="32">
        <f t="shared" si="1"/>
        <v>0.5087737011284863</v>
      </c>
      <c r="F28" s="32">
        <f t="shared" si="2"/>
        <v>0.55431071593776426</v>
      </c>
      <c r="G28" s="32">
        <v>2.4072002262450791</v>
      </c>
      <c r="H28" s="32">
        <f t="shared" si="3"/>
        <v>0.37019067006506523</v>
      </c>
      <c r="I28" s="32">
        <v>5.1556051016435553</v>
      </c>
      <c r="J28" s="32">
        <f t="shared" si="4"/>
        <v>0.78708244281240669</v>
      </c>
      <c r="K28" s="32">
        <f t="shared" si="5"/>
        <v>0.57863655643873591</v>
      </c>
      <c r="L28" s="32">
        <f t="shared" si="6"/>
        <v>0.56647363618825008</v>
      </c>
      <c r="M28" s="32">
        <f t="shared" si="7"/>
        <v>0.62561153842062311</v>
      </c>
      <c r="N28" s="32">
        <v>3.974987664373637</v>
      </c>
    </row>
    <row r="29" spans="1:14" x14ac:dyDescent="0.3">
      <c r="A29" s="11" t="s">
        <v>27</v>
      </c>
      <c r="B29" s="32">
        <v>4.2142685606358654</v>
      </c>
      <c r="C29" s="32">
        <f t="shared" si="0"/>
        <v>0.68547842606934573</v>
      </c>
      <c r="D29" s="32">
        <v>4.6304950292626978</v>
      </c>
      <c r="E29" s="32">
        <f t="shared" si="1"/>
        <v>0.70810100226976846</v>
      </c>
      <c r="F29" s="32">
        <f t="shared" si="2"/>
        <v>0.69678971416955715</v>
      </c>
      <c r="G29" s="32">
        <v>4.1765360644787703</v>
      </c>
      <c r="H29" s="32">
        <f t="shared" si="3"/>
        <v>0.64228752864153937</v>
      </c>
      <c r="I29" s="32">
        <v>6.2711554427209544</v>
      </c>
      <c r="J29" s="32">
        <f t="shared" si="4"/>
        <v>0.95738836621517187</v>
      </c>
      <c r="K29" s="32">
        <f t="shared" si="5"/>
        <v>0.79983794742835568</v>
      </c>
      <c r="L29" s="32">
        <f t="shared" si="6"/>
        <v>0.74831383079895641</v>
      </c>
      <c r="M29" s="32">
        <f t="shared" si="7"/>
        <v>0.82643522487247489</v>
      </c>
      <c r="N29" s="32">
        <v>6.1399770620755687</v>
      </c>
    </row>
    <row r="30" spans="1:14" x14ac:dyDescent="0.3">
      <c r="A30" s="11" t="s">
        <v>28</v>
      </c>
      <c r="B30" s="32">
        <v>3.5294650474141589</v>
      </c>
      <c r="C30" s="32">
        <f t="shared" si="0"/>
        <v>0.57409064248225838</v>
      </c>
      <c r="D30" s="32">
        <v>3.5435600719322338</v>
      </c>
      <c r="E30" s="32">
        <f t="shared" si="1"/>
        <v>0.54188557004841043</v>
      </c>
      <c r="F30" s="32">
        <f t="shared" si="2"/>
        <v>0.55798810626533446</v>
      </c>
      <c r="G30" s="32">
        <v>3.3787336810903086</v>
      </c>
      <c r="H30" s="32">
        <f t="shared" si="3"/>
        <v>0.51959769351022111</v>
      </c>
      <c r="I30" s="32">
        <v>5.7041642228269547</v>
      </c>
      <c r="J30" s="32">
        <f t="shared" si="4"/>
        <v>0.87082843278173461</v>
      </c>
      <c r="K30" s="32">
        <f t="shared" si="5"/>
        <v>0.69521306314597786</v>
      </c>
      <c r="L30" s="32">
        <f t="shared" si="6"/>
        <v>0.62660058470565616</v>
      </c>
      <c r="M30" s="32">
        <f t="shared" si="7"/>
        <v>0.69201553387507608</v>
      </c>
      <c r="N30" s="32">
        <v>5.7338808055048984</v>
      </c>
    </row>
    <row r="31" spans="1:14" x14ac:dyDescent="0.3">
      <c r="A31" s="11" t="s">
        <v>29</v>
      </c>
      <c r="B31" s="32">
        <v>4.3016744048354649</v>
      </c>
      <c r="C31" s="32">
        <f t="shared" si="0"/>
        <v>0.69969555999167077</v>
      </c>
      <c r="D31" s="32">
        <v>3.2683552036683738</v>
      </c>
      <c r="E31" s="32">
        <f t="shared" si="1"/>
        <v>0.49980090268225452</v>
      </c>
      <c r="F31" s="32">
        <f t="shared" si="2"/>
        <v>0.59974823133696264</v>
      </c>
      <c r="G31" s="32">
        <v>3.404068550475698</v>
      </c>
      <c r="H31" s="32">
        <f t="shared" si="3"/>
        <v>0.52349380990782468</v>
      </c>
      <c r="I31" s="32">
        <v>4.6767460182888207</v>
      </c>
      <c r="J31" s="32">
        <f t="shared" si="4"/>
        <v>0.71397723602114138</v>
      </c>
      <c r="K31" s="32">
        <f t="shared" si="5"/>
        <v>0.61873552296448309</v>
      </c>
      <c r="L31" s="32">
        <f t="shared" si="6"/>
        <v>0.60924187715072287</v>
      </c>
      <c r="M31" s="32">
        <f t="shared" si="7"/>
        <v>0.67284463686474005</v>
      </c>
      <c r="N31" s="32">
        <v>4.8983366306515368</v>
      </c>
    </row>
    <row r="32" spans="1:14" x14ac:dyDescent="0.3">
      <c r="A32" s="11" t="s">
        <v>30</v>
      </c>
      <c r="B32" s="32">
        <v>5.227245445403975</v>
      </c>
      <c r="C32" s="32">
        <f t="shared" si="0"/>
        <v>0.85024576128414353</v>
      </c>
      <c r="D32" s="32">
        <v>3.6757644032133641</v>
      </c>
      <c r="E32" s="32">
        <f t="shared" si="1"/>
        <v>0.56210241919585002</v>
      </c>
      <c r="F32" s="32">
        <f t="shared" si="2"/>
        <v>0.70617409023999678</v>
      </c>
      <c r="G32" s="32">
        <v>4.623613458381449</v>
      </c>
      <c r="H32" s="32">
        <f t="shared" si="3"/>
        <v>0.71104121112101493</v>
      </c>
      <c r="I32" s="32">
        <v>6.1944403004920083</v>
      </c>
      <c r="J32" s="32">
        <f t="shared" si="4"/>
        <v>0.94567661941613734</v>
      </c>
      <c r="K32" s="32">
        <f t="shared" si="5"/>
        <v>0.82835891526857619</v>
      </c>
      <c r="L32" s="32">
        <f t="shared" si="6"/>
        <v>0.76726650275428643</v>
      </c>
      <c r="M32" s="32">
        <f t="shared" si="7"/>
        <v>0.84736649069261105</v>
      </c>
      <c r="N32" s="32">
        <v>5.9701366593596497</v>
      </c>
    </row>
    <row r="33" spans="1:14" x14ac:dyDescent="0.3">
      <c r="A33" s="11" t="s">
        <v>31</v>
      </c>
      <c r="B33" s="32">
        <v>3.0456829373637522</v>
      </c>
      <c r="C33" s="32">
        <f t="shared" si="0"/>
        <v>0.49540030877751151</v>
      </c>
      <c r="D33" s="32">
        <v>3.4436210306450104</v>
      </c>
      <c r="E33" s="32">
        <f t="shared" si="1"/>
        <v>0.52660276878112755</v>
      </c>
      <c r="F33" s="32">
        <f t="shared" si="2"/>
        <v>0.51100153877931953</v>
      </c>
      <c r="G33" s="32">
        <v>1.445435622938932</v>
      </c>
      <c r="H33" s="32">
        <f t="shared" si="3"/>
        <v>0.22228594695105372</v>
      </c>
      <c r="I33" s="32">
        <v>5.0210863995889827</v>
      </c>
      <c r="J33" s="32">
        <f t="shared" si="4"/>
        <v>0.76654609324146794</v>
      </c>
      <c r="K33" s="32">
        <f t="shared" si="5"/>
        <v>0.49441602009626084</v>
      </c>
      <c r="L33" s="32">
        <f t="shared" si="6"/>
        <v>0.50270877943779024</v>
      </c>
      <c r="M33" s="32">
        <f t="shared" si="7"/>
        <v>0.55518984960690232</v>
      </c>
      <c r="N33" s="32">
        <v>6.1660617329891103</v>
      </c>
    </row>
    <row r="34" spans="1:14" x14ac:dyDescent="0.3">
      <c r="A34" s="11" t="s">
        <v>32</v>
      </c>
      <c r="B34" s="32">
        <v>3.8842379020060229</v>
      </c>
      <c r="C34" s="32">
        <f t="shared" si="0"/>
        <v>0.63179677451411609</v>
      </c>
      <c r="D34" s="32">
        <v>2.7267206407146891</v>
      </c>
      <c r="E34" s="32">
        <f t="shared" si="1"/>
        <v>0.41697347829939735</v>
      </c>
      <c r="F34" s="32">
        <f t="shared" si="2"/>
        <v>0.52438512640675672</v>
      </c>
      <c r="G34" s="32">
        <v>2.4493494931526119</v>
      </c>
      <c r="H34" s="32">
        <f t="shared" si="3"/>
        <v>0.37667258427773953</v>
      </c>
      <c r="I34" s="32">
        <v>5.0270649765405295</v>
      </c>
      <c r="J34" s="32">
        <f t="shared" si="4"/>
        <v>0.76745881499939805</v>
      </c>
      <c r="K34" s="32">
        <f t="shared" si="5"/>
        <v>0.57206569963856879</v>
      </c>
      <c r="L34" s="32">
        <f t="shared" si="6"/>
        <v>0.5482254130226627</v>
      </c>
      <c r="M34" s="32">
        <f t="shared" si="7"/>
        <v>0.60545826342465814</v>
      </c>
      <c r="N34" s="32">
        <v>4.3246910834942982</v>
      </c>
    </row>
    <row r="35" spans="1:14" x14ac:dyDescent="0.3">
      <c r="A35" s="11" t="s">
        <v>33</v>
      </c>
      <c r="B35" s="32">
        <v>3.7027963211010366</v>
      </c>
      <c r="C35" s="32">
        <f t="shared" si="0"/>
        <v>0.60228411116275193</v>
      </c>
      <c r="D35" s="32">
        <v>2.8044536671339078</v>
      </c>
      <c r="E35" s="32">
        <f t="shared" si="1"/>
        <v>0.42886050842664386</v>
      </c>
      <c r="F35" s="32">
        <f t="shared" si="2"/>
        <v>0.51557230979469792</v>
      </c>
      <c r="G35" s="32">
        <v>2.459081858577747</v>
      </c>
      <c r="H35" s="32">
        <f t="shared" si="3"/>
        <v>0.3781692736011984</v>
      </c>
      <c r="I35" s="32">
        <v>4.9975187242064356</v>
      </c>
      <c r="J35" s="32">
        <f t="shared" si="4"/>
        <v>0.76294812498249642</v>
      </c>
      <c r="K35" s="32">
        <f t="shared" si="5"/>
        <v>0.57055869929184744</v>
      </c>
      <c r="L35" s="32">
        <f t="shared" si="6"/>
        <v>0.54306550454327263</v>
      </c>
      <c r="M35" s="32">
        <f t="shared" si="7"/>
        <v>0.59975967822019494</v>
      </c>
      <c r="N35" s="32">
        <v>3.486261770620918</v>
      </c>
    </row>
    <row r="36" spans="1:14" x14ac:dyDescent="0.3">
      <c r="A36" s="11" t="s">
        <v>34</v>
      </c>
      <c r="B36" s="32">
        <v>2.7625364215335377</v>
      </c>
      <c r="C36" s="32">
        <f t="shared" si="0"/>
        <v>0.44934467059838479</v>
      </c>
      <c r="D36" s="32">
        <v>2.852549245076812</v>
      </c>
      <c r="E36" s="32">
        <f t="shared" si="1"/>
        <v>0.43621534343475682</v>
      </c>
      <c r="F36" s="32">
        <f t="shared" si="2"/>
        <v>0.44278000701657083</v>
      </c>
      <c r="G36" s="32">
        <v>1.965942475520674</v>
      </c>
      <c r="H36" s="32">
        <f t="shared" si="3"/>
        <v>0.3023319599207599</v>
      </c>
      <c r="I36" s="32">
        <v>4.2806575364751751</v>
      </c>
      <c r="J36" s="32">
        <f t="shared" si="4"/>
        <v>0.65350823506209632</v>
      </c>
      <c r="K36" s="32">
        <f t="shared" si="5"/>
        <v>0.47792009749142811</v>
      </c>
      <c r="L36" s="32">
        <f t="shared" si="6"/>
        <v>0.4603500522539995</v>
      </c>
      <c r="M36" s="32">
        <f t="shared" si="7"/>
        <v>0.50840901677360817</v>
      </c>
      <c r="N36" s="32">
        <v>6.1360000000000001</v>
      </c>
    </row>
    <row r="37" spans="1:14" x14ac:dyDescent="0.3">
      <c r="A37" s="11" t="s">
        <v>35</v>
      </c>
      <c r="B37" s="32">
        <v>3.2096565742758587</v>
      </c>
      <c r="C37" s="32">
        <f t="shared" si="0"/>
        <v>0.52207169645253371</v>
      </c>
      <c r="D37" s="32">
        <v>2.8305999218809497</v>
      </c>
      <c r="E37" s="32">
        <f t="shared" si="1"/>
        <v>0.43285882590133712</v>
      </c>
      <c r="F37" s="32">
        <f t="shared" si="2"/>
        <v>0.47746526117693544</v>
      </c>
      <c r="G37" s="32">
        <v>3.0999263040098448</v>
      </c>
      <c r="H37" s="32">
        <f t="shared" si="3"/>
        <v>0.47672137245673846</v>
      </c>
      <c r="I37" s="32">
        <v>5.0511825506242758</v>
      </c>
      <c r="J37" s="32">
        <f t="shared" si="4"/>
        <v>0.77114073375583903</v>
      </c>
      <c r="K37" s="32">
        <f t="shared" si="5"/>
        <v>0.62393105310628871</v>
      </c>
      <c r="L37" s="32">
        <f t="shared" si="6"/>
        <v>0.55069815714161208</v>
      </c>
      <c r="M37" s="32">
        <f t="shared" si="7"/>
        <v>0.60818915353771963</v>
      </c>
      <c r="N37" s="32">
        <v>5.0150928577518101</v>
      </c>
    </row>
    <row r="38" spans="1:14" x14ac:dyDescent="0.3">
      <c r="A38" s="11" t="s">
        <v>36</v>
      </c>
      <c r="B38" s="32">
        <v>4.9818788267427792</v>
      </c>
      <c r="C38" s="32">
        <f t="shared" si="0"/>
        <v>0.81033527120743698</v>
      </c>
      <c r="D38" s="32">
        <v>4.3280577990254354</v>
      </c>
      <c r="E38" s="32">
        <f t="shared" si="1"/>
        <v>0.66185192857433739</v>
      </c>
      <c r="F38" s="32">
        <f t="shared" si="2"/>
        <v>0.73609359989088718</v>
      </c>
      <c r="G38" s="32">
        <v>4.5547081028227545</v>
      </c>
      <c r="H38" s="32">
        <f t="shared" si="3"/>
        <v>0.70044461867006869</v>
      </c>
      <c r="I38" s="32">
        <v>5.9070795011499388</v>
      </c>
      <c r="J38" s="32">
        <f t="shared" si="4"/>
        <v>0.90180657206852743</v>
      </c>
      <c r="K38" s="32">
        <f t="shared" si="5"/>
        <v>0.80112559536929806</v>
      </c>
      <c r="L38" s="32">
        <f t="shared" si="6"/>
        <v>0.76860959763009262</v>
      </c>
      <c r="M38" s="32">
        <f t="shared" si="7"/>
        <v>0.84884980006099042</v>
      </c>
      <c r="N38" s="32">
        <v>6.1074324433643783</v>
      </c>
    </row>
    <row r="39" spans="1:14" x14ac:dyDescent="0.3">
      <c r="A39" s="11" t="s">
        <v>37</v>
      </c>
      <c r="B39" s="32">
        <v>3.6224075666493332</v>
      </c>
      <c r="C39" s="32">
        <f t="shared" si="0"/>
        <v>0.58920835291849938</v>
      </c>
      <c r="D39" s="32">
        <v>3.1173716357841719</v>
      </c>
      <c r="E39" s="32">
        <f t="shared" si="1"/>
        <v>0.47671230954708549</v>
      </c>
      <c r="F39" s="32">
        <f t="shared" si="2"/>
        <v>0.53296033123279241</v>
      </c>
      <c r="G39" s="32">
        <v>1.5481562684591579</v>
      </c>
      <c r="H39" s="32">
        <f t="shared" si="3"/>
        <v>0.2380828151052099</v>
      </c>
      <c r="I39" s="32">
        <v>4.3779679111679464</v>
      </c>
      <c r="J39" s="32">
        <f t="shared" si="4"/>
        <v>0.66836416097460671</v>
      </c>
      <c r="K39" s="32">
        <f t="shared" si="5"/>
        <v>0.45322348803990831</v>
      </c>
      <c r="L39" s="32">
        <f t="shared" si="6"/>
        <v>0.49309190963635036</v>
      </c>
      <c r="M39" s="32">
        <f t="shared" si="7"/>
        <v>0.5445690116244789</v>
      </c>
      <c r="N39" s="32">
        <v>5.2704023772662421</v>
      </c>
    </row>
    <row r="40" spans="1:14" x14ac:dyDescent="0.3">
      <c r="A40" s="11" t="s">
        <v>38</v>
      </c>
      <c r="B40">
        <f>B4*(87/95)</f>
        <v>5.6302031403657971</v>
      </c>
      <c r="C40" s="32">
        <f t="shared" si="0"/>
        <v>0.91578947368421049</v>
      </c>
      <c r="D40">
        <f>D4*(87/95)</f>
        <v>4.0472768804686527</v>
      </c>
      <c r="E40" s="32">
        <f t="shared" si="1"/>
        <v>0.61891456473055373</v>
      </c>
      <c r="F40" s="32">
        <f t="shared" si="2"/>
        <v>0.76735201920738216</v>
      </c>
      <c r="G40">
        <f t="shared" ref="G40:N40" si="8">G4*(87/95)</f>
        <v>5.0013887228009768</v>
      </c>
      <c r="H40" s="32">
        <f t="shared" si="3"/>
        <v>0.76913728337322562</v>
      </c>
      <c r="I40">
        <f t="shared" si="8"/>
        <v>5.7899476160624843</v>
      </c>
      <c r="J40" s="32">
        <f t="shared" si="4"/>
        <v>0.88392458762086956</v>
      </c>
      <c r="K40" s="32">
        <f t="shared" si="5"/>
        <v>0.82653093549704759</v>
      </c>
      <c r="L40" s="32">
        <f t="shared" si="6"/>
        <v>0.79694147735221488</v>
      </c>
      <c r="M40" s="32">
        <f t="shared" si="7"/>
        <v>0.88013943072866496</v>
      </c>
      <c r="N40">
        <f t="shared" si="8"/>
        <v>4.9057040437769981</v>
      </c>
    </row>
    <row r="41" spans="1:14" x14ac:dyDescent="0.3">
      <c r="A41" s="11" t="s">
        <v>39</v>
      </c>
      <c r="B41" s="32">
        <v>3.5400612949548669</v>
      </c>
      <c r="C41" s="32">
        <f t="shared" si="0"/>
        <v>0.57581419165382564</v>
      </c>
      <c r="D41" s="32">
        <v>3.4580884269220333</v>
      </c>
      <c r="E41" s="32">
        <f t="shared" si="1"/>
        <v>0.52881514083622194</v>
      </c>
      <c r="F41" s="32">
        <f t="shared" si="2"/>
        <v>0.55231466624502379</v>
      </c>
      <c r="G41" s="32">
        <v>3.7492682602298553</v>
      </c>
      <c r="H41" s="32">
        <f t="shared" si="3"/>
        <v>0.57658025883172359</v>
      </c>
      <c r="I41" s="32">
        <v>5.7721501484311446</v>
      </c>
      <c r="J41" s="32">
        <f t="shared" si="4"/>
        <v>0.88120753035543153</v>
      </c>
      <c r="K41" s="32">
        <f t="shared" si="5"/>
        <v>0.72889389459357756</v>
      </c>
      <c r="L41" s="32">
        <f t="shared" si="6"/>
        <v>0.64060428041930062</v>
      </c>
      <c r="M41" s="32">
        <f t="shared" si="7"/>
        <v>0.7074811673296858</v>
      </c>
      <c r="N41" s="32">
        <v>4.5154384530059719</v>
      </c>
    </row>
    <row r="42" spans="1:14" x14ac:dyDescent="0.3">
      <c r="A42" s="11" t="s">
        <v>40</v>
      </c>
      <c r="B42" s="32">
        <v>3.3500254225049964</v>
      </c>
      <c r="C42" s="32">
        <f t="shared" si="0"/>
        <v>0.54490361040600943</v>
      </c>
      <c r="D42" s="32">
        <v>3.9163634038306632</v>
      </c>
      <c r="E42" s="32">
        <f t="shared" si="1"/>
        <v>0.59889511466481404</v>
      </c>
      <c r="F42" s="32">
        <f t="shared" si="2"/>
        <v>0.57189936253541174</v>
      </c>
      <c r="G42" s="32">
        <v>3.5261885168406644</v>
      </c>
      <c r="H42" s="32">
        <f t="shared" si="3"/>
        <v>0.54227399764795636</v>
      </c>
      <c r="I42" s="32">
        <v>5.5058195861034118</v>
      </c>
      <c r="J42" s="32">
        <f t="shared" si="4"/>
        <v>0.84054807225890515</v>
      </c>
      <c r="K42" s="32">
        <f t="shared" si="5"/>
        <v>0.69141103495343081</v>
      </c>
      <c r="L42" s="32">
        <f t="shared" si="6"/>
        <v>0.63165519874442122</v>
      </c>
      <c r="M42" s="32">
        <f t="shared" si="7"/>
        <v>0.69759783226091554</v>
      </c>
      <c r="N42" s="32">
        <v>6.1683199473959238</v>
      </c>
    </row>
    <row r="43" spans="1:14" x14ac:dyDescent="0.3">
      <c r="A43" s="11" t="s">
        <v>41</v>
      </c>
      <c r="B43" s="32">
        <f>AVERAGE(B2,B3)</f>
        <v>5.7715006890810674</v>
      </c>
      <c r="C43" s="32">
        <f t="shared" si="0"/>
        <v>0.93877244686382821</v>
      </c>
      <c r="D43" s="32">
        <f>AVERAGE(D2,D3)</f>
        <v>5.1176097109962573</v>
      </c>
      <c r="E43" s="32">
        <f t="shared" si="1"/>
        <v>0.78259117927591348</v>
      </c>
      <c r="F43" s="32">
        <f t="shared" si="2"/>
        <v>0.86068181306987079</v>
      </c>
      <c r="G43" s="32">
        <f t="shared" ref="G43:N43" si="9">AVERAGE(G2,G3)</f>
        <v>5.2463178841152871</v>
      </c>
      <c r="H43" s="32">
        <f t="shared" si="3"/>
        <v>0.80680365169475621</v>
      </c>
      <c r="I43" s="32">
        <f t="shared" si="9"/>
        <v>6.1340443545351446</v>
      </c>
      <c r="J43" s="32">
        <f t="shared" si="4"/>
        <v>0.93645624901489377</v>
      </c>
      <c r="K43" s="32">
        <f t="shared" si="5"/>
        <v>0.87162995035482504</v>
      </c>
      <c r="L43" s="32">
        <f t="shared" si="6"/>
        <v>0.86615588171234792</v>
      </c>
      <c r="M43" s="32">
        <f t="shared" si="7"/>
        <v>0.95657958120765396</v>
      </c>
      <c r="N43" s="32">
        <f t="shared" si="9"/>
        <v>5.9590967972471756</v>
      </c>
    </row>
    <row r="44" spans="1:14" x14ac:dyDescent="0.3">
      <c r="A44" s="11" t="s">
        <v>42</v>
      </c>
      <c r="B44" s="32">
        <v>4.9460702408151036</v>
      </c>
      <c r="C44" s="32">
        <f t="shared" si="0"/>
        <v>0.80451076980979275</v>
      </c>
      <c r="D44" s="32">
        <v>3.585884264738135</v>
      </c>
      <c r="E44" s="32">
        <f t="shared" si="1"/>
        <v>0.5483578377339865</v>
      </c>
      <c r="F44" s="32">
        <f t="shared" si="2"/>
        <v>0.67643430377188962</v>
      </c>
      <c r="G44" s="32">
        <v>6.5025956105862592</v>
      </c>
      <c r="H44" s="32">
        <f t="shared" si="3"/>
        <v>1</v>
      </c>
      <c r="I44" s="32">
        <v>5.6929214442875642</v>
      </c>
      <c r="J44" s="32">
        <f t="shared" si="4"/>
        <v>0.86911204965651012</v>
      </c>
      <c r="K44" s="32">
        <f t="shared" si="5"/>
        <v>0.93455602482825506</v>
      </c>
      <c r="L44" s="32">
        <f t="shared" si="6"/>
        <v>0.80549516430007229</v>
      </c>
      <c r="M44" s="32">
        <f t="shared" si="7"/>
        <v>0.88958609321877802</v>
      </c>
      <c r="N44" s="32">
        <v>5.7915208284278581</v>
      </c>
    </row>
    <row r="45" spans="1:14" x14ac:dyDescent="0.3">
      <c r="A45" s="11" t="s">
        <v>43</v>
      </c>
      <c r="B45" s="32">
        <v>3.0747909534886348</v>
      </c>
      <c r="C45" s="32">
        <f t="shared" si="0"/>
        <v>0.50013491854245606</v>
      </c>
      <c r="D45" s="32">
        <v>3.9187847894799117</v>
      </c>
      <c r="E45" s="32">
        <f t="shared" si="1"/>
        <v>0.59926539594020234</v>
      </c>
      <c r="F45" s="32">
        <f t="shared" si="2"/>
        <v>0.54970015724132915</v>
      </c>
      <c r="G45" s="32">
        <v>1.5783232191743672</v>
      </c>
      <c r="H45" s="32">
        <f t="shared" si="3"/>
        <v>0.24272203189213379</v>
      </c>
      <c r="I45" s="32">
        <v>4.4288545002129176</v>
      </c>
      <c r="J45" s="32">
        <f t="shared" si="4"/>
        <v>0.67613278173245694</v>
      </c>
      <c r="K45" s="32">
        <f t="shared" si="5"/>
        <v>0.45942740681229538</v>
      </c>
      <c r="L45" s="32">
        <f t="shared" si="6"/>
        <v>0.50456378202681229</v>
      </c>
      <c r="M45" s="32">
        <f t="shared" si="7"/>
        <v>0.55723850809576203</v>
      </c>
      <c r="N45" s="32">
        <v>5.2070539738061496</v>
      </c>
    </row>
    <row r="46" spans="1:14" x14ac:dyDescent="0.3">
      <c r="A46" s="11" t="s">
        <v>44</v>
      </c>
      <c r="B46" s="32">
        <v>3.9942977599079033</v>
      </c>
      <c r="C46" s="32">
        <f t="shared" si="0"/>
        <v>0.64969873237050224</v>
      </c>
      <c r="D46" s="32">
        <v>3.7272232930408116</v>
      </c>
      <c r="E46" s="32">
        <f t="shared" si="1"/>
        <v>0.56997157599922255</v>
      </c>
      <c r="F46" s="32">
        <f t="shared" si="2"/>
        <v>0.60983515418486234</v>
      </c>
      <c r="G46" s="32">
        <v>4.929436866795359</v>
      </c>
      <c r="H46" s="32">
        <f t="shared" si="3"/>
        <v>0.75807218563156697</v>
      </c>
      <c r="I46" s="32">
        <v>5.9508255908059802</v>
      </c>
      <c r="J46" s="32">
        <f t="shared" si="4"/>
        <v>0.90848508573106357</v>
      </c>
      <c r="K46" s="32">
        <f t="shared" si="5"/>
        <v>0.83327863568131533</v>
      </c>
      <c r="L46" s="32">
        <f t="shared" si="6"/>
        <v>0.72155689493308883</v>
      </c>
      <c r="M46" s="32">
        <f t="shared" si="7"/>
        <v>0.79688495679097049</v>
      </c>
      <c r="N46" s="32">
        <v>5.6178274768674701</v>
      </c>
    </row>
    <row r="47" spans="1:14" x14ac:dyDescent="0.3">
      <c r="A47" s="11" t="s">
        <v>45</v>
      </c>
      <c r="B47" s="32">
        <v>2.399205648155867</v>
      </c>
      <c r="C47" s="32">
        <f t="shared" si="0"/>
        <v>0.39024653693793637</v>
      </c>
      <c r="D47" s="32">
        <v>3.2195934651377178</v>
      </c>
      <c r="E47" s="32">
        <f t="shared" si="1"/>
        <v>0.4923441975766944</v>
      </c>
      <c r="F47" s="32">
        <f t="shared" si="2"/>
        <v>0.44129536725731539</v>
      </c>
      <c r="G47" s="32">
        <v>1.4052918573051913</v>
      </c>
      <c r="H47" s="32">
        <f t="shared" si="3"/>
        <v>0.21611244823795731</v>
      </c>
      <c r="I47" s="32">
        <v>3.8355335310912237</v>
      </c>
      <c r="J47" s="32">
        <f t="shared" si="4"/>
        <v>0.5855532069703685</v>
      </c>
      <c r="K47" s="32">
        <f t="shared" si="5"/>
        <v>0.40083282760416289</v>
      </c>
      <c r="L47" s="32">
        <f t="shared" si="6"/>
        <v>0.42106409743073914</v>
      </c>
      <c r="M47" s="32">
        <f t="shared" si="7"/>
        <v>0.46502174318275857</v>
      </c>
      <c r="N47" s="32">
        <v>6.3513347654400309</v>
      </c>
    </row>
    <row r="48" spans="1:14" x14ac:dyDescent="0.3">
      <c r="A48" s="11" t="s">
        <v>46</v>
      </c>
      <c r="B48">
        <v>4.0182996039826868</v>
      </c>
      <c r="C48" s="32">
        <f t="shared" si="0"/>
        <v>0.65360278975612418</v>
      </c>
      <c r="D48">
        <v>3.6958036908526815</v>
      </c>
      <c r="E48" s="32">
        <f t="shared" si="1"/>
        <v>0.56516685173977876</v>
      </c>
      <c r="F48" s="32">
        <f t="shared" si="2"/>
        <v>0.60938482074795153</v>
      </c>
      <c r="G48">
        <v>3.4637390492821516</v>
      </c>
      <c r="H48" s="32">
        <f t="shared" si="3"/>
        <v>0.53267022227911065</v>
      </c>
      <c r="I48">
        <v>4.7937008806400483</v>
      </c>
      <c r="J48" s="32">
        <f t="shared" si="4"/>
        <v>0.73183219522444565</v>
      </c>
      <c r="K48" s="32">
        <f t="shared" si="5"/>
        <v>0.6322512087517782</v>
      </c>
      <c r="L48" s="32">
        <f t="shared" si="6"/>
        <v>0.62081801474986487</v>
      </c>
      <c r="M48" s="32">
        <f t="shared" si="7"/>
        <v>0.68562928347442154</v>
      </c>
      <c r="N48">
        <v>5.1464810439183921</v>
      </c>
    </row>
    <row r="49" spans="1:14" x14ac:dyDescent="0.3">
      <c r="A49" s="11" t="s">
        <v>47</v>
      </c>
      <c r="B49" s="32">
        <v>4.2576513867694095</v>
      </c>
      <c r="C49" s="32">
        <f t="shared" si="0"/>
        <v>0.69253492732183708</v>
      </c>
      <c r="D49" s="32">
        <v>4.4101486020924563</v>
      </c>
      <c r="E49" s="32">
        <f t="shared" si="1"/>
        <v>0.67440535527311152</v>
      </c>
      <c r="F49" s="32">
        <f t="shared" si="2"/>
        <v>0.6834701412974743</v>
      </c>
      <c r="G49" s="32">
        <v>3.4372653092868273</v>
      </c>
      <c r="H49" s="32">
        <f t="shared" si="3"/>
        <v>0.52859896495653858</v>
      </c>
      <c r="I49" s="32">
        <v>6.3761426062444926</v>
      </c>
      <c r="J49" s="32">
        <f t="shared" si="4"/>
        <v>0.97341627205763237</v>
      </c>
      <c r="K49" s="32">
        <f t="shared" si="5"/>
        <v>0.75100761850708553</v>
      </c>
      <c r="L49" s="32">
        <f t="shared" si="6"/>
        <v>0.71723887990227997</v>
      </c>
      <c r="M49" s="32">
        <f t="shared" si="7"/>
        <v>0.79211615581988704</v>
      </c>
      <c r="N49" s="32">
        <v>6.5591708822620918</v>
      </c>
    </row>
    <row r="50" spans="1:14" x14ac:dyDescent="0.3">
      <c r="A50" s="11" t="s">
        <v>48</v>
      </c>
      <c r="B50" s="32">
        <v>4.6874012146818478</v>
      </c>
      <c r="C50" s="32">
        <f t="shared" si="0"/>
        <v>0.7624365558968661</v>
      </c>
      <c r="D50" s="32">
        <v>5.398851937613844</v>
      </c>
      <c r="E50" s="32">
        <f t="shared" si="1"/>
        <v>0.82559908691645023</v>
      </c>
      <c r="F50" s="32">
        <f t="shared" si="2"/>
        <v>0.79401782140665822</v>
      </c>
      <c r="G50" s="32">
        <v>2.8193546926987798</v>
      </c>
      <c r="H50" s="32">
        <f t="shared" si="3"/>
        <v>0.43357373909410202</v>
      </c>
      <c r="I50" s="32">
        <v>6.5502732893158218</v>
      </c>
      <c r="J50" s="32">
        <f t="shared" si="4"/>
        <v>1</v>
      </c>
      <c r="K50" s="32">
        <f t="shared" si="5"/>
        <v>0.71678686954705095</v>
      </c>
      <c r="L50" s="32">
        <f t="shared" si="6"/>
        <v>0.75540234547685459</v>
      </c>
      <c r="M50" s="32">
        <f t="shared" si="7"/>
        <v>0.83426375613934445</v>
      </c>
      <c r="N50" s="32">
        <v>6.2891627029979604</v>
      </c>
    </row>
    <row r="51" spans="1:14" x14ac:dyDescent="0.3">
      <c r="A51" s="11" t="s">
        <v>49</v>
      </c>
      <c r="B51" s="32">
        <v>2.520539539632932</v>
      </c>
      <c r="C51" s="32">
        <f t="shared" si="0"/>
        <v>0.40998229031052591</v>
      </c>
      <c r="D51" s="32">
        <v>2.5659239930766424</v>
      </c>
      <c r="E51" s="32">
        <f t="shared" si="1"/>
        <v>0.39238425692358919</v>
      </c>
      <c r="F51" s="32">
        <f t="shared" si="2"/>
        <v>0.40118327361705752</v>
      </c>
      <c r="G51" s="32">
        <v>2.8536163656670901</v>
      </c>
      <c r="H51" s="32">
        <f t="shared" si="3"/>
        <v>0.4388426616936455</v>
      </c>
      <c r="I51" s="32">
        <v>4.8823272356683827</v>
      </c>
      <c r="J51" s="32">
        <f t="shared" si="4"/>
        <v>0.7453623719230108</v>
      </c>
      <c r="K51" s="32">
        <f t="shared" si="5"/>
        <v>0.59210251680832815</v>
      </c>
      <c r="L51" s="32">
        <f t="shared" si="6"/>
        <v>0.49664289521269284</v>
      </c>
      <c r="M51" s="32">
        <f t="shared" si="7"/>
        <v>0.54849070790018484</v>
      </c>
      <c r="N51" s="32">
        <v>6.0008675540967849</v>
      </c>
    </row>
    <row r="52" spans="1:14" x14ac:dyDescent="0.3">
      <c r="A52" s="11" t="s">
        <v>50</v>
      </c>
      <c r="B52" s="32">
        <v>3.6772457368767801</v>
      </c>
      <c r="C52" s="32">
        <f t="shared" si="0"/>
        <v>0.59812814103242096</v>
      </c>
      <c r="D52" s="32">
        <v>5.0103390138119375</v>
      </c>
      <c r="E52" s="32">
        <f t="shared" si="1"/>
        <v>0.76618721216000696</v>
      </c>
      <c r="F52" s="32">
        <f t="shared" si="2"/>
        <v>0.68215767659621396</v>
      </c>
      <c r="G52" s="32">
        <v>3.6630588731473508</v>
      </c>
      <c r="H52" s="32">
        <f t="shared" si="3"/>
        <v>0.56332257032620514</v>
      </c>
      <c r="I52" s="32">
        <v>6.0104873062557891</v>
      </c>
      <c r="J52" s="32">
        <f t="shared" si="4"/>
        <v>0.9175933645485479</v>
      </c>
      <c r="K52" s="32">
        <f t="shared" si="5"/>
        <v>0.74045796743737657</v>
      </c>
      <c r="L52" s="32">
        <f t="shared" si="6"/>
        <v>0.71130782201679521</v>
      </c>
      <c r="M52" s="32">
        <f t="shared" si="7"/>
        <v>0.78556591585961677</v>
      </c>
      <c r="N52" s="32">
        <v>6.3521135512635372</v>
      </c>
    </row>
    <row r="53" spans="1:14" x14ac:dyDescent="0.3">
      <c r="A53" s="11" t="s">
        <v>51</v>
      </c>
      <c r="B53">
        <v>4.0182996039826868</v>
      </c>
      <c r="C53" s="32">
        <f t="shared" si="0"/>
        <v>0.65360278975612418</v>
      </c>
      <c r="D53">
        <v>3.6958036908526815</v>
      </c>
      <c r="E53" s="32">
        <f t="shared" si="1"/>
        <v>0.56516685173977876</v>
      </c>
      <c r="F53" s="32">
        <f t="shared" si="2"/>
        <v>0.60938482074795153</v>
      </c>
      <c r="G53">
        <v>3.4637390492821516</v>
      </c>
      <c r="H53" s="32">
        <f t="shared" si="3"/>
        <v>0.53267022227911065</v>
      </c>
      <c r="I53">
        <v>4.7937008806400483</v>
      </c>
      <c r="J53" s="32">
        <f t="shared" si="4"/>
        <v>0.73183219522444565</v>
      </c>
      <c r="K53" s="32">
        <f t="shared" si="5"/>
        <v>0.6322512087517782</v>
      </c>
      <c r="L53" s="32">
        <f t="shared" si="6"/>
        <v>0.62081801474986487</v>
      </c>
      <c r="M53" s="32">
        <f t="shared" si="7"/>
        <v>0.68562928347442154</v>
      </c>
      <c r="N53">
        <v>5.1464810439183921</v>
      </c>
    </row>
    <row r="54" spans="1:14" x14ac:dyDescent="0.3">
      <c r="A54" s="11" t="s">
        <v>52</v>
      </c>
      <c r="B54" s="32">
        <v>2.5037123343575423</v>
      </c>
      <c r="C54" s="32">
        <f t="shared" si="0"/>
        <v>0.40724523498969001</v>
      </c>
      <c r="D54" s="32">
        <v>2.292573847656199</v>
      </c>
      <c r="E54" s="32">
        <f t="shared" si="1"/>
        <v>0.35058321605871584</v>
      </c>
      <c r="F54" s="32">
        <f t="shared" si="2"/>
        <v>0.37891422552420295</v>
      </c>
      <c r="G54" s="32">
        <v>1.7925939632037651</v>
      </c>
      <c r="H54" s="32">
        <f t="shared" si="3"/>
        <v>0.27567360336623314</v>
      </c>
      <c r="I54" s="32">
        <v>3.7812684003498704</v>
      </c>
      <c r="J54" s="32">
        <f t="shared" si="4"/>
        <v>0.57726879984038426</v>
      </c>
      <c r="K54" s="32">
        <f t="shared" si="5"/>
        <v>0.4264712016033087</v>
      </c>
      <c r="L54" s="32">
        <f t="shared" si="6"/>
        <v>0.4026927135637558</v>
      </c>
      <c r="M54" s="32">
        <f t="shared" si="7"/>
        <v>0.44473244993113087</v>
      </c>
      <c r="N54" s="32">
        <v>4.9661772999246079</v>
      </c>
    </row>
    <row r="55" spans="1:14" x14ac:dyDescent="0.3">
      <c r="A55" s="11" t="s">
        <v>53</v>
      </c>
      <c r="B55" s="32">
        <v>2.264283317482978</v>
      </c>
      <c r="C55" s="32">
        <f t="shared" si="0"/>
        <v>0.36830053479295083</v>
      </c>
      <c r="D55" s="32">
        <v>4.7173702270720126</v>
      </c>
      <c r="E55" s="32">
        <f t="shared" si="1"/>
        <v>0.72138606450445475</v>
      </c>
      <c r="F55" s="32">
        <f t="shared" si="2"/>
        <v>0.54484329964870282</v>
      </c>
      <c r="G55" s="32">
        <v>4.8690898716901092</v>
      </c>
      <c r="H55" s="32">
        <f t="shared" si="3"/>
        <v>0.7487917384502899</v>
      </c>
      <c r="I55" s="32">
        <v>5.8370677123203301</v>
      </c>
      <c r="J55" s="32">
        <f t="shared" si="4"/>
        <v>0.8911181953035755</v>
      </c>
      <c r="K55" s="32">
        <f t="shared" si="5"/>
        <v>0.8199549668769327</v>
      </c>
      <c r="L55" s="32">
        <f t="shared" si="6"/>
        <v>0.68239913326281776</v>
      </c>
      <c r="M55" s="32">
        <f t="shared" si="7"/>
        <v>0.75363925927804087</v>
      </c>
      <c r="N55" s="32">
        <v>6.503014136720628</v>
      </c>
    </row>
    <row r="56" spans="1:14" x14ac:dyDescent="0.3">
      <c r="A56" s="11" t="s">
        <v>54</v>
      </c>
      <c r="B56" s="32">
        <v>3.2815988220086627</v>
      </c>
      <c r="C56" s="32">
        <f t="shared" si="0"/>
        <v>0.53377357497171685</v>
      </c>
      <c r="D56" s="32">
        <v>2.7049070091711425</v>
      </c>
      <c r="E56" s="32">
        <f t="shared" si="1"/>
        <v>0.41363771090055224</v>
      </c>
      <c r="F56" s="32">
        <f t="shared" si="2"/>
        <v>0.47370564293613454</v>
      </c>
      <c r="G56" s="32">
        <v>2.4310140012521311</v>
      </c>
      <c r="H56" s="32">
        <f t="shared" si="3"/>
        <v>0.37385286535340251</v>
      </c>
      <c r="I56" s="32">
        <v>4.539242730688855</v>
      </c>
      <c r="J56" s="32">
        <f t="shared" si="4"/>
        <v>0.69298524354591939</v>
      </c>
      <c r="K56" s="32">
        <f t="shared" si="5"/>
        <v>0.53341905444966098</v>
      </c>
      <c r="L56" s="32">
        <f t="shared" si="6"/>
        <v>0.50356234869289773</v>
      </c>
      <c r="M56" s="32">
        <f t="shared" si="7"/>
        <v>0.55613252856091255</v>
      </c>
      <c r="N56" s="32">
        <v>4.7253261441626906</v>
      </c>
    </row>
    <row r="57" spans="1:14" x14ac:dyDescent="0.3">
      <c r="A57" s="11" t="s">
        <v>55</v>
      </c>
      <c r="B57" s="32">
        <v>2.9430988095826396</v>
      </c>
      <c r="C57" s="32">
        <f t="shared" si="0"/>
        <v>0.47871432746442599</v>
      </c>
      <c r="D57" s="32">
        <v>3.2933048523428692</v>
      </c>
      <c r="E57" s="32">
        <f t="shared" si="1"/>
        <v>0.50361623368272901</v>
      </c>
      <c r="F57" s="32">
        <f t="shared" si="2"/>
        <v>0.4911652805735775</v>
      </c>
      <c r="G57" s="32">
        <v>1.410416992601095</v>
      </c>
      <c r="H57" s="32">
        <f t="shared" si="3"/>
        <v>0.21690061585637108</v>
      </c>
      <c r="I57" s="32">
        <v>3.6557051614699545</v>
      </c>
      <c r="J57" s="32">
        <f t="shared" si="4"/>
        <v>0.55809963951165065</v>
      </c>
      <c r="K57" s="32">
        <f t="shared" si="5"/>
        <v>0.38750012768401088</v>
      </c>
      <c r="L57" s="32">
        <f t="shared" si="6"/>
        <v>0.43933270412879422</v>
      </c>
      <c r="M57" s="32">
        <f t="shared" si="7"/>
        <v>0.4851975296819796</v>
      </c>
      <c r="N57" s="32">
        <v>5.5461961518291316</v>
      </c>
    </row>
    <row r="58" spans="1:14" x14ac:dyDescent="0.3">
      <c r="A58" s="11" t="s">
        <v>56</v>
      </c>
      <c r="B58">
        <f>B2*(73/89)</f>
        <v>4.4998636822176996</v>
      </c>
      <c r="C58" s="32">
        <f t="shared" si="0"/>
        <v>0.73193234603629265</v>
      </c>
      <c r="D58">
        <f t="shared" ref="D58:N58" si="10">D2*(73/89)</f>
        <v>4.3565249780502713</v>
      </c>
      <c r="E58" s="32">
        <f t="shared" si="1"/>
        <v>0.66620516464777912</v>
      </c>
      <c r="F58" s="32">
        <f t="shared" si="2"/>
        <v>0.69906875534203583</v>
      </c>
      <c r="G58">
        <f t="shared" si="10"/>
        <v>4.1274255828048343</v>
      </c>
      <c r="H58" s="32">
        <f t="shared" si="3"/>
        <v>0.63473508579948656</v>
      </c>
      <c r="I58">
        <f t="shared" si="10"/>
        <v>5.0987083651831178</v>
      </c>
      <c r="J58" s="32">
        <f t="shared" si="4"/>
        <v>0.77839628057956645</v>
      </c>
      <c r="K58" s="32">
        <f t="shared" si="5"/>
        <v>0.70656568318952651</v>
      </c>
      <c r="L58" s="32">
        <f t="shared" si="6"/>
        <v>0.70281721926578111</v>
      </c>
      <c r="M58" s="32">
        <f t="shared" si="7"/>
        <v>0.77618892333985345</v>
      </c>
      <c r="N58">
        <f t="shared" si="10"/>
        <v>4.7393087609164146</v>
      </c>
    </row>
    <row r="59" spans="1:14" x14ac:dyDescent="0.3">
      <c r="A59" s="11" t="s">
        <v>57</v>
      </c>
      <c r="B59">
        <v>4.0182996039826868</v>
      </c>
      <c r="C59" s="32">
        <f t="shared" si="0"/>
        <v>0.65360278975612418</v>
      </c>
      <c r="D59">
        <v>3.6958036908526815</v>
      </c>
      <c r="E59" s="32">
        <f t="shared" si="1"/>
        <v>0.56516685173977876</v>
      </c>
      <c r="F59" s="32">
        <f t="shared" si="2"/>
        <v>0.60938482074795153</v>
      </c>
      <c r="G59">
        <v>3.4637390492821516</v>
      </c>
      <c r="H59" s="32">
        <f t="shared" si="3"/>
        <v>0.53267022227911065</v>
      </c>
      <c r="I59">
        <v>4.7937008806400483</v>
      </c>
      <c r="J59" s="32">
        <f t="shared" si="4"/>
        <v>0.73183219522444565</v>
      </c>
      <c r="K59" s="32">
        <f t="shared" si="5"/>
        <v>0.6322512087517782</v>
      </c>
      <c r="L59" s="32">
        <f t="shared" si="6"/>
        <v>0.62081801474986487</v>
      </c>
      <c r="M59" s="32">
        <f t="shared" si="7"/>
        <v>0.68562928347442154</v>
      </c>
      <c r="N59">
        <v>5.1464810439183921</v>
      </c>
    </row>
    <row r="60" spans="1:14" x14ac:dyDescent="0.3">
      <c r="A60" s="11" t="s">
        <v>58</v>
      </c>
      <c r="B60" s="32">
        <v>4.4262642235475811</v>
      </c>
      <c r="C60" s="32">
        <f t="shared" si="0"/>
        <v>0.7199609112872134</v>
      </c>
      <c r="D60" s="32">
        <v>4.0481026845598862</v>
      </c>
      <c r="E60" s="32">
        <f t="shared" si="1"/>
        <v>0.61904084770915224</v>
      </c>
      <c r="F60" s="32">
        <f t="shared" si="2"/>
        <v>0.66950087949818282</v>
      </c>
      <c r="G60" s="32">
        <v>4.8748352399396753</v>
      </c>
      <c r="H60" s="32">
        <f t="shared" si="3"/>
        <v>0.74967528843457809</v>
      </c>
      <c r="I60" s="32">
        <v>6.0925884118283253</v>
      </c>
      <c r="J60" s="32">
        <f t="shared" si="4"/>
        <v>0.93012736152031583</v>
      </c>
      <c r="K60" s="32">
        <f t="shared" si="5"/>
        <v>0.83990132497744696</v>
      </c>
      <c r="L60" s="32">
        <f t="shared" si="6"/>
        <v>0.75470110223781495</v>
      </c>
      <c r="M60" s="32">
        <f t="shared" si="7"/>
        <v>0.83348930551436096</v>
      </c>
      <c r="N60" s="32">
        <v>6.2312956719979953</v>
      </c>
    </row>
    <row r="61" spans="1:14" x14ac:dyDescent="0.3">
      <c r="A61" s="11" t="s">
        <v>59</v>
      </c>
      <c r="B61" s="70">
        <v>3.6827674082097888</v>
      </c>
      <c r="C61" s="32">
        <f t="shared" si="0"/>
        <v>0.59902627709569356</v>
      </c>
      <c r="D61" s="70">
        <v>3.8517620987999734</v>
      </c>
      <c r="E61" s="32">
        <f t="shared" si="1"/>
        <v>0.58901620354384687</v>
      </c>
      <c r="F61" s="32">
        <f t="shared" si="2"/>
        <v>0.59402124031977022</v>
      </c>
      <c r="G61" s="70">
        <v>5.1668395767956934</v>
      </c>
      <c r="H61" s="32">
        <f t="shared" si="3"/>
        <v>0.79458110056606501</v>
      </c>
      <c r="I61" s="70">
        <v>5.6669397410980942</v>
      </c>
      <c r="J61" s="32">
        <f t="shared" si="4"/>
        <v>0.86514554291062384</v>
      </c>
      <c r="K61" s="32">
        <f t="shared" si="5"/>
        <v>0.82986332173834443</v>
      </c>
      <c r="L61" s="32">
        <f t="shared" si="6"/>
        <v>0.71194228102905732</v>
      </c>
      <c r="M61" s="32">
        <f t="shared" si="7"/>
        <v>0.78626661021389777</v>
      </c>
      <c r="N61" s="70">
        <v>6.2474887697713539</v>
      </c>
    </row>
    <row r="62" spans="1:14" x14ac:dyDescent="0.3">
      <c r="A62" s="49" t="s">
        <v>502</v>
      </c>
      <c r="B62" s="32">
        <f>MAX(B2:B61)</f>
        <v>6.1479229693649513</v>
      </c>
      <c r="C62" s="32">
        <f t="shared" ref="C62:N62" si="11">MAX(C2:C61)</f>
        <v>1</v>
      </c>
      <c r="D62" s="32">
        <f t="shared" si="11"/>
        <v>6.5393143272216365</v>
      </c>
      <c r="E62" s="32">
        <f t="shared" si="11"/>
        <v>1</v>
      </c>
      <c r="F62" s="32">
        <f t="shared" si="11"/>
        <v>0.98272517693678318</v>
      </c>
      <c r="G62" s="32">
        <f t="shared" si="11"/>
        <v>6.5025956105862592</v>
      </c>
      <c r="H62" s="32">
        <f t="shared" si="11"/>
        <v>1</v>
      </c>
      <c r="I62" s="32">
        <f t="shared" si="11"/>
        <v>6.5502732893158218</v>
      </c>
      <c r="J62" s="32">
        <f t="shared" si="11"/>
        <v>1</v>
      </c>
      <c r="K62" s="32">
        <f t="shared" si="11"/>
        <v>0.93455602482825506</v>
      </c>
      <c r="L62" s="32">
        <f t="shared" si="11"/>
        <v>0.90547184858247887</v>
      </c>
      <c r="M62" s="32">
        <f t="shared" si="11"/>
        <v>1</v>
      </c>
      <c r="N62" s="32">
        <f t="shared" si="11"/>
        <v>6.8159603171857954</v>
      </c>
    </row>
    <row r="64" spans="1:14" x14ac:dyDescent="0.3">
      <c r="A64" s="10" t="s">
        <v>569</v>
      </c>
      <c r="B64" s="65" t="s">
        <v>565</v>
      </c>
      <c r="C64" s="65" t="s">
        <v>566</v>
      </c>
      <c r="D64" s="65" t="s">
        <v>567</v>
      </c>
      <c r="E64" s="65" t="s">
        <v>568</v>
      </c>
      <c r="F64" s="65"/>
      <c r="G64" s="66" t="s">
        <v>563</v>
      </c>
      <c r="H64" s="67" t="s">
        <v>564</v>
      </c>
      <c r="J64" s="65"/>
      <c r="K64" s="65"/>
      <c r="L64" s="65"/>
      <c r="M64" s="65"/>
    </row>
    <row r="65" spans="1:13" x14ac:dyDescent="0.3">
      <c r="A65" s="11" t="s">
        <v>562</v>
      </c>
      <c r="B65" s="27">
        <v>4.1220161405068856</v>
      </c>
      <c r="C65" s="27">
        <v>3.8983356814814827</v>
      </c>
      <c r="D65" s="27">
        <v>3.1173682371008464</v>
      </c>
      <c r="E65" s="27">
        <v>5.4126586547033959</v>
      </c>
      <c r="F65" s="27"/>
      <c r="G65" s="27">
        <v>6.0552971885370441</v>
      </c>
      <c r="H65" s="27">
        <v>4.0509656754042096</v>
      </c>
      <c r="J65" s="27"/>
      <c r="K65" s="27"/>
      <c r="L65" s="27"/>
      <c r="M65" s="27"/>
    </row>
    <row r="66" spans="1:13" x14ac:dyDescent="0.3">
      <c r="A66" s="11" t="s">
        <v>561</v>
      </c>
      <c r="B66" s="27">
        <v>4.0671871563234072</v>
      </c>
      <c r="C66" s="27">
        <v>3.8542859999999997</v>
      </c>
      <c r="D66" s="27">
        <v>4.697717048169137</v>
      </c>
      <c r="E66" s="27">
        <v>4.8794826575252417</v>
      </c>
      <c r="F66" s="27"/>
      <c r="G66" s="27">
        <v>5.2872903564849878</v>
      </c>
      <c r="H66" s="27">
        <v>4.0210652155120359</v>
      </c>
      <c r="J66" s="27"/>
      <c r="K66" s="27"/>
      <c r="L66" s="27"/>
      <c r="M66" s="27"/>
    </row>
    <row r="67" spans="1:13" x14ac:dyDescent="0.3">
      <c r="A67" s="11" t="s">
        <v>570</v>
      </c>
      <c r="B67" s="27">
        <v>3.5823207142649878</v>
      </c>
      <c r="C67" s="27">
        <v>3.7622378782608701</v>
      </c>
      <c r="D67" s="27">
        <v>2.6358023613829249</v>
      </c>
      <c r="E67" s="27">
        <v>4.2059161920427357</v>
      </c>
      <c r="F67" s="27"/>
      <c r="G67" s="27">
        <v>4.3450000000000006</v>
      </c>
      <c r="H67" s="27">
        <v>4.1277022455283054</v>
      </c>
      <c r="J67" s="27"/>
      <c r="K67" s="27"/>
      <c r="L67" s="27"/>
      <c r="M67" s="27"/>
    </row>
    <row r="68" spans="1:13" x14ac:dyDescent="0.3">
      <c r="A68" s="11" t="s">
        <v>571</v>
      </c>
      <c r="B68" s="27">
        <v>4.3016744048354649</v>
      </c>
      <c r="C68" s="27">
        <v>3.2683552036683738</v>
      </c>
      <c r="D68" s="27">
        <v>3.404068550475698</v>
      </c>
      <c r="E68" s="27">
        <v>4.6767460182888207</v>
      </c>
      <c r="F68" s="27"/>
      <c r="G68" s="27">
        <v>4.8983366306515368</v>
      </c>
      <c r="H68" s="27">
        <v>3.8983393939265873</v>
      </c>
      <c r="J68" s="27"/>
      <c r="K68" s="27"/>
      <c r="L68" s="27"/>
      <c r="M68" s="27"/>
    </row>
    <row r="69" spans="1:13" x14ac:dyDescent="0.3">
      <c r="A69" s="49" t="s">
        <v>572</v>
      </c>
      <c r="B69" s="32">
        <f>AVERAGE(B65:B68)</f>
        <v>4.0182996039826868</v>
      </c>
      <c r="C69" s="32">
        <f>AVERAGE(C65:C68)</f>
        <v>3.6958036908526815</v>
      </c>
      <c r="D69" s="32">
        <f>AVERAGE(D65:D68)</f>
        <v>3.4637390492821516</v>
      </c>
      <c r="E69" s="32">
        <f>AVERAGE(E65:E68)</f>
        <v>4.7937008806400483</v>
      </c>
      <c r="F69" s="32"/>
      <c r="G69" s="32">
        <f>AVERAGE(G65:G68)</f>
        <v>5.1464810439183921</v>
      </c>
      <c r="H69" s="32">
        <f>AVERAGE(H65:H68)</f>
        <v>4.0245181325927843</v>
      </c>
      <c r="J69" s="32"/>
      <c r="K69" s="32"/>
      <c r="L69" s="32"/>
      <c r="M69" s="3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9F88-538E-4965-91FE-EC4E04C65575}">
  <dimension ref="A1:N69"/>
  <sheetViews>
    <sheetView topLeftCell="A25" workbookViewId="0">
      <selection activeCell="H32" sqref="H32"/>
    </sheetView>
  </sheetViews>
  <sheetFormatPr defaultRowHeight="14.4" x14ac:dyDescent="0.3"/>
  <cols>
    <col min="1" max="1" width="18.88671875" customWidth="1"/>
    <col min="2" max="2" width="9.6640625" customWidth="1"/>
    <col min="3" max="3" width="12.88671875" customWidth="1"/>
    <col min="4" max="4" width="14.33203125" bestFit="1" customWidth="1"/>
    <col min="5" max="5" width="13.33203125" customWidth="1"/>
    <col min="6" max="6" width="20.6640625" style="56" customWidth="1"/>
    <col min="7" max="7" width="10.33203125" customWidth="1"/>
    <col min="8" max="8" width="10" customWidth="1"/>
    <col min="9" max="9" width="5.77734375" customWidth="1"/>
    <col min="10" max="10" width="9.88671875" customWidth="1"/>
    <col min="12" max="12" width="23.44140625" customWidth="1"/>
    <col min="13" max="13" width="11.6640625" customWidth="1"/>
    <col min="14" max="14" width="21.77734375" customWidth="1"/>
    <col min="15" max="15" width="8.5546875" customWidth="1"/>
  </cols>
  <sheetData>
    <row r="1" spans="1:14" x14ac:dyDescent="0.3">
      <c r="A1" s="10" t="s">
        <v>67</v>
      </c>
      <c r="B1" s="23" t="s">
        <v>581</v>
      </c>
      <c r="C1" s="23" t="s">
        <v>582</v>
      </c>
      <c r="D1" s="23" t="s">
        <v>583</v>
      </c>
      <c r="E1" s="23" t="s">
        <v>600</v>
      </c>
      <c r="F1" s="23" t="s">
        <v>584</v>
      </c>
      <c r="G1" s="23" t="s">
        <v>602</v>
      </c>
      <c r="H1" s="23" t="s">
        <v>603</v>
      </c>
      <c r="I1" s="23" t="s">
        <v>604</v>
      </c>
      <c r="J1" s="23" t="s">
        <v>605</v>
      </c>
      <c r="L1" s="10" t="s">
        <v>585</v>
      </c>
      <c r="M1" s="10" t="s">
        <v>586</v>
      </c>
      <c r="N1" s="10" t="s">
        <v>587</v>
      </c>
    </row>
    <row r="2" spans="1:14" x14ac:dyDescent="0.3">
      <c r="A2" s="11" t="s">
        <v>0</v>
      </c>
      <c r="B2" s="11">
        <v>158</v>
      </c>
      <c r="C2" s="11">
        <v>255</v>
      </c>
      <c r="D2" s="11">
        <v>278</v>
      </c>
      <c r="E2" s="27">
        <f>AVERAGE(B2:D2)</f>
        <v>230.33333333333334</v>
      </c>
      <c r="F2" s="72">
        <v>67.7</v>
      </c>
      <c r="G2" s="27">
        <f>($E$63-E2)/($E$63-$E$62)</f>
        <v>0.98229355423246179</v>
      </c>
      <c r="H2" s="27">
        <f>($F$63-F2)/($F$63-$F$62)</f>
        <v>0.29069767441860461</v>
      </c>
      <c r="I2" s="27">
        <f>(0.7*G2)+(0.3*H2)</f>
        <v>0.77481479028830469</v>
      </c>
      <c r="J2" s="35">
        <f>I2/$I$63</f>
        <v>0.82881776843916055</v>
      </c>
      <c r="L2" s="11" t="s">
        <v>588</v>
      </c>
      <c r="M2" s="11">
        <v>15</v>
      </c>
      <c r="N2" s="11">
        <v>14.25</v>
      </c>
    </row>
    <row r="3" spans="1:14" x14ac:dyDescent="0.3">
      <c r="A3" s="11" t="s">
        <v>1</v>
      </c>
      <c r="B3" s="11">
        <v>203</v>
      </c>
      <c r="C3" s="11">
        <v>291</v>
      </c>
      <c r="D3" s="11">
        <v>259</v>
      </c>
      <c r="E3" s="27">
        <f t="shared" ref="E3:E61" si="0">AVERAGE(B3:D3)</f>
        <v>251</v>
      </c>
      <c r="F3" s="72">
        <v>51.6</v>
      </c>
      <c r="G3" s="27">
        <f t="shared" ref="G3:G61" si="1">($E$63-E3)/($E$63-$E$62)</f>
        <v>0.97908361377167996</v>
      </c>
      <c r="H3" s="27">
        <f t="shared" ref="H3:H61" si="2">($F$63-F3)/($F$63-$F$62)</f>
        <v>0.52470930232558133</v>
      </c>
      <c r="I3" s="27">
        <f t="shared" ref="I3:I61" si="3">(0.7*G3)+(0.3*H3)</f>
        <v>0.8427713203378504</v>
      </c>
      <c r="J3" s="35">
        <f t="shared" ref="J3:J61" si="4">I3/$I$63</f>
        <v>0.90151072718556702</v>
      </c>
      <c r="L3" s="11" t="s">
        <v>599</v>
      </c>
      <c r="M3">
        <v>60</v>
      </c>
      <c r="N3" s="11">
        <v>67.040000000000006</v>
      </c>
    </row>
    <row r="4" spans="1:14" x14ac:dyDescent="0.3">
      <c r="A4" s="11" t="s">
        <v>2</v>
      </c>
      <c r="B4" s="11">
        <v>2643</v>
      </c>
      <c r="C4" s="11">
        <v>2892</v>
      </c>
      <c r="D4" s="11">
        <v>2432</v>
      </c>
      <c r="E4" s="27">
        <f t="shared" si="0"/>
        <v>2655.6666666666665</v>
      </c>
      <c r="F4" s="72">
        <v>68.8</v>
      </c>
      <c r="G4" s="27">
        <f t="shared" si="1"/>
        <v>0.60559150918974891</v>
      </c>
      <c r="H4" s="27">
        <f t="shared" si="2"/>
        <v>0.27470930232558144</v>
      </c>
      <c r="I4" s="27">
        <f t="shared" si="3"/>
        <v>0.50632684713049869</v>
      </c>
      <c r="J4" s="35">
        <f t="shared" si="4"/>
        <v>0.54161677448540346</v>
      </c>
      <c r="L4" s="11" t="s">
        <v>589</v>
      </c>
      <c r="M4" s="11">
        <v>12</v>
      </c>
      <c r="N4" s="11">
        <v>10.6</v>
      </c>
    </row>
    <row r="5" spans="1:14" x14ac:dyDescent="0.3">
      <c r="A5" s="11" t="s">
        <v>3</v>
      </c>
      <c r="B5" s="11">
        <v>386</v>
      </c>
      <c r="C5" s="11">
        <v>567</v>
      </c>
      <c r="D5" s="11">
        <v>543</v>
      </c>
      <c r="E5" s="27">
        <f t="shared" si="0"/>
        <v>498.66666666666669</v>
      </c>
      <c r="F5" s="72">
        <v>39.200000000000003</v>
      </c>
      <c r="G5" s="27">
        <f t="shared" si="1"/>
        <v>0.94061610147553709</v>
      </c>
      <c r="H5" s="27">
        <f t="shared" si="2"/>
        <v>0.7049418604651162</v>
      </c>
      <c r="I5" s="27">
        <f t="shared" si="3"/>
        <v>0.86991382917241078</v>
      </c>
      <c r="J5" s="35">
        <f t="shared" si="4"/>
        <v>0.93054501239033161</v>
      </c>
      <c r="L5" s="11" t="s">
        <v>590</v>
      </c>
      <c r="M5" s="11">
        <v>6.5</v>
      </c>
      <c r="N5" s="11">
        <v>2.41</v>
      </c>
    </row>
    <row r="6" spans="1:14" x14ac:dyDescent="0.3">
      <c r="A6" s="11" t="s">
        <v>4</v>
      </c>
      <c r="B6" s="11">
        <v>127</v>
      </c>
      <c r="C6" s="11">
        <v>130</v>
      </c>
      <c r="D6" s="11">
        <v>160</v>
      </c>
      <c r="E6" s="27">
        <f t="shared" si="0"/>
        <v>139</v>
      </c>
      <c r="F6" s="72">
        <v>61.4</v>
      </c>
      <c r="G6" s="27">
        <f t="shared" si="1"/>
        <v>0.99647942013978763</v>
      </c>
      <c r="H6" s="27">
        <f t="shared" si="2"/>
        <v>0.38226744186046513</v>
      </c>
      <c r="I6" s="27">
        <f t="shared" si="3"/>
        <v>0.81221582665599079</v>
      </c>
      <c r="J6" s="35">
        <f t="shared" si="4"/>
        <v>0.86882557919357717</v>
      </c>
      <c r="L6" s="11" t="s">
        <v>591</v>
      </c>
      <c r="M6" s="11">
        <v>3.37</v>
      </c>
      <c r="N6" s="11">
        <v>3.89</v>
      </c>
    </row>
    <row r="7" spans="1:14" x14ac:dyDescent="0.3">
      <c r="A7" s="11" t="s">
        <v>5</v>
      </c>
      <c r="B7" s="11">
        <v>2959</v>
      </c>
      <c r="C7" s="11">
        <v>2806</v>
      </c>
      <c r="D7" s="11">
        <v>3301</v>
      </c>
      <c r="E7" s="27">
        <f t="shared" si="0"/>
        <v>3022</v>
      </c>
      <c r="F7" s="72">
        <v>42.6</v>
      </c>
      <c r="G7" s="27">
        <f t="shared" si="1"/>
        <v>0.54869272586073004</v>
      </c>
      <c r="H7" s="27">
        <f t="shared" si="2"/>
        <v>0.65552325581395343</v>
      </c>
      <c r="I7" s="27">
        <f t="shared" si="3"/>
        <v>0.58074188484669698</v>
      </c>
      <c r="J7" s="35">
        <f t="shared" si="4"/>
        <v>0.62121838543981744</v>
      </c>
      <c r="L7" s="11" t="s">
        <v>592</v>
      </c>
      <c r="M7" s="11">
        <v>2.91</v>
      </c>
      <c r="N7" s="11">
        <v>2.02</v>
      </c>
    </row>
    <row r="8" spans="1:14" x14ac:dyDescent="0.3">
      <c r="A8" s="11" t="s">
        <v>6</v>
      </c>
      <c r="B8" s="11">
        <v>132</v>
      </c>
      <c r="C8" s="11">
        <v>188</v>
      </c>
      <c r="D8" s="11">
        <v>136</v>
      </c>
      <c r="E8" s="27">
        <f t="shared" si="0"/>
        <v>152</v>
      </c>
      <c r="F8" s="72">
        <v>67.8</v>
      </c>
      <c r="G8" s="27">
        <f t="shared" si="1"/>
        <v>0.99446026404348942</v>
      </c>
      <c r="H8" s="27">
        <f t="shared" si="2"/>
        <v>0.28924418604651164</v>
      </c>
      <c r="I8" s="27">
        <f t="shared" si="3"/>
        <v>0.78289544064439598</v>
      </c>
      <c r="J8" s="35">
        <f t="shared" si="4"/>
        <v>0.83746162330566443</v>
      </c>
      <c r="L8" s="11" t="s">
        <v>597</v>
      </c>
      <c r="M8" s="11">
        <v>1.94</v>
      </c>
      <c r="N8" s="11">
        <v>2.19</v>
      </c>
    </row>
    <row r="9" spans="1:14" x14ac:dyDescent="0.3">
      <c r="A9" s="11" t="s">
        <v>7</v>
      </c>
      <c r="B9" s="11">
        <v>3080</v>
      </c>
      <c r="C9" s="11">
        <v>3583</v>
      </c>
      <c r="D9" s="11">
        <v>3232</v>
      </c>
      <c r="E9" s="27">
        <f t="shared" si="0"/>
        <v>3298.3333333333335</v>
      </c>
      <c r="F9" s="72">
        <v>47.5</v>
      </c>
      <c r="G9" s="27">
        <f t="shared" si="1"/>
        <v>0.50577271550608338</v>
      </c>
      <c r="H9" s="27">
        <f t="shared" si="2"/>
        <v>0.58430232558139528</v>
      </c>
      <c r="I9" s="27">
        <f t="shared" si="3"/>
        <v>0.52933159852867684</v>
      </c>
      <c r="J9" s="35">
        <f t="shared" si="4"/>
        <v>0.56622490917297319</v>
      </c>
      <c r="L9" s="11" t="s">
        <v>593</v>
      </c>
      <c r="M9" s="11">
        <v>2.09</v>
      </c>
      <c r="N9" s="11">
        <v>2.2599999999999998</v>
      </c>
    </row>
    <row r="10" spans="1:14" x14ac:dyDescent="0.3">
      <c r="A10" s="11" t="s">
        <v>8</v>
      </c>
      <c r="B10" s="11">
        <v>167</v>
      </c>
      <c r="C10" s="11">
        <v>308</v>
      </c>
      <c r="D10" s="11">
        <v>258</v>
      </c>
      <c r="E10" s="27">
        <f t="shared" si="0"/>
        <v>244.33333333333334</v>
      </c>
      <c r="F10" s="72">
        <v>54</v>
      </c>
      <c r="G10" s="27">
        <f t="shared" si="1"/>
        <v>0.98011907843644841</v>
      </c>
      <c r="H10" s="27">
        <f t="shared" si="2"/>
        <v>0.48982558139534882</v>
      </c>
      <c r="I10" s="27">
        <f t="shared" si="3"/>
        <v>0.83303102932411854</v>
      </c>
      <c r="J10" s="35">
        <f t="shared" si="4"/>
        <v>0.89109155816203123</v>
      </c>
      <c r="L10" s="11" t="s">
        <v>598</v>
      </c>
      <c r="M10" s="11">
        <v>0.7</v>
      </c>
      <c r="N10" s="11">
        <v>1.08</v>
      </c>
    </row>
    <row r="11" spans="1:14" x14ac:dyDescent="0.3">
      <c r="A11" s="11" t="s">
        <v>9</v>
      </c>
      <c r="B11" s="11">
        <v>2229</v>
      </c>
      <c r="C11" s="11">
        <v>2763</v>
      </c>
      <c r="D11" s="11">
        <v>2543</v>
      </c>
      <c r="E11" s="27">
        <f t="shared" si="0"/>
        <v>2511.6666666666665</v>
      </c>
      <c r="F11" s="72">
        <v>38</v>
      </c>
      <c r="G11" s="27">
        <f t="shared" si="1"/>
        <v>0.62795754594874453</v>
      </c>
      <c r="H11" s="27">
        <f t="shared" si="2"/>
        <v>0.72238372093023251</v>
      </c>
      <c r="I11" s="27">
        <f t="shared" si="3"/>
        <v>0.65628539844319089</v>
      </c>
      <c r="J11" s="35">
        <f t="shared" si="4"/>
        <v>0.70202712469452622</v>
      </c>
      <c r="L11" s="11" t="s">
        <v>594</v>
      </c>
      <c r="M11" s="11">
        <v>1.9</v>
      </c>
      <c r="N11" s="11">
        <v>1.68</v>
      </c>
    </row>
    <row r="12" spans="1:14" x14ac:dyDescent="0.3">
      <c r="A12" s="11" t="s">
        <v>10</v>
      </c>
      <c r="B12" s="11">
        <v>127</v>
      </c>
      <c r="C12" s="11">
        <v>169</v>
      </c>
      <c r="D12" s="11">
        <v>331</v>
      </c>
      <c r="E12" s="27">
        <f t="shared" si="0"/>
        <v>209</v>
      </c>
      <c r="F12" s="72">
        <v>71.3</v>
      </c>
      <c r="G12" s="27">
        <f t="shared" si="1"/>
        <v>0.98560704115972042</v>
      </c>
      <c r="H12" s="27">
        <f t="shared" si="2"/>
        <v>0.23837209302325585</v>
      </c>
      <c r="I12" s="27">
        <f t="shared" si="3"/>
        <v>0.76143655671878097</v>
      </c>
      <c r="J12" s="35">
        <f t="shared" si="4"/>
        <v>0.81450709983586167</v>
      </c>
      <c r="L12" s="11" t="s">
        <v>595</v>
      </c>
      <c r="M12" s="11">
        <v>1.9</v>
      </c>
      <c r="N12" s="11">
        <v>2.1800000000000002</v>
      </c>
    </row>
    <row r="13" spans="1:14" x14ac:dyDescent="0.3">
      <c r="A13" s="11" t="s">
        <v>11</v>
      </c>
      <c r="B13" s="11">
        <v>290</v>
      </c>
      <c r="C13" s="11">
        <v>481</v>
      </c>
      <c r="D13" s="11">
        <v>419</v>
      </c>
      <c r="E13" s="27">
        <f t="shared" si="0"/>
        <v>396.66666666666669</v>
      </c>
      <c r="F13" s="72">
        <v>48.8</v>
      </c>
      <c r="G13" s="27">
        <f t="shared" si="1"/>
        <v>0.95645871084649225</v>
      </c>
      <c r="H13" s="27">
        <f t="shared" si="2"/>
        <v>0.56540697674418605</v>
      </c>
      <c r="I13" s="27">
        <f t="shared" si="3"/>
        <v>0.83914319061580034</v>
      </c>
      <c r="J13" s="35">
        <f t="shared" si="4"/>
        <v>0.89762972437363253</v>
      </c>
      <c r="L13" s="10" t="s">
        <v>596</v>
      </c>
      <c r="M13" s="11">
        <f>SUM(M2:M12)</f>
        <v>108.31000000000002</v>
      </c>
      <c r="N13" s="11">
        <f>SUM(N2:N12)</f>
        <v>109.60000000000001</v>
      </c>
    </row>
    <row r="14" spans="1:14" x14ac:dyDescent="0.3">
      <c r="A14" s="11" t="s">
        <v>12</v>
      </c>
      <c r="B14" s="11">
        <v>2538</v>
      </c>
      <c r="C14" s="11">
        <v>3026</v>
      </c>
      <c r="D14" s="11">
        <v>2762</v>
      </c>
      <c r="E14" s="27">
        <f t="shared" si="0"/>
        <v>2775.3333333333335</v>
      </c>
      <c r="F14" s="72">
        <v>34</v>
      </c>
      <c r="G14" s="27">
        <f t="shared" si="1"/>
        <v>0.58700491845715763</v>
      </c>
      <c r="H14" s="27">
        <f t="shared" si="2"/>
        <v>0.78052325581395343</v>
      </c>
      <c r="I14" s="27">
        <f t="shared" si="3"/>
        <v>0.64506041966419625</v>
      </c>
      <c r="J14" s="35">
        <f t="shared" si="4"/>
        <v>0.69001978825878074</v>
      </c>
      <c r="L14" s="92" t="s">
        <v>620</v>
      </c>
      <c r="M14" s="93"/>
      <c r="N14" s="94"/>
    </row>
    <row r="15" spans="1:14" x14ac:dyDescent="0.3">
      <c r="A15" s="11" t="s">
        <v>13</v>
      </c>
      <c r="B15" s="11">
        <v>2648</v>
      </c>
      <c r="C15" s="11">
        <v>2834</v>
      </c>
      <c r="D15" s="11">
        <v>2697</v>
      </c>
      <c r="E15" s="27">
        <f t="shared" si="0"/>
        <v>2726.3333333333335</v>
      </c>
      <c r="F15" s="72">
        <v>30.5</v>
      </c>
      <c r="G15" s="27">
        <f t="shared" si="1"/>
        <v>0.59461558374320478</v>
      </c>
      <c r="H15" s="27">
        <f t="shared" si="2"/>
        <v>0.83139534883720922</v>
      </c>
      <c r="I15" s="27">
        <f t="shared" si="3"/>
        <v>0.66564951327140609</v>
      </c>
      <c r="J15" s="35">
        <f t="shared" si="4"/>
        <v>0.71204389883540375</v>
      </c>
    </row>
    <row r="16" spans="1:14" x14ac:dyDescent="0.3">
      <c r="A16" s="11" t="s">
        <v>14</v>
      </c>
      <c r="B16" s="11">
        <v>163</v>
      </c>
      <c r="C16" s="11">
        <v>169</v>
      </c>
      <c r="D16" s="11">
        <v>264</v>
      </c>
      <c r="E16" s="27">
        <f t="shared" si="0"/>
        <v>198.66666666666666</v>
      </c>
      <c r="F16" s="72">
        <v>73.400000000000006</v>
      </c>
      <c r="G16" s="27">
        <f t="shared" si="1"/>
        <v>0.98721201139011117</v>
      </c>
      <c r="H16" s="27">
        <f t="shared" si="2"/>
        <v>0.20784883720930225</v>
      </c>
      <c r="I16" s="27">
        <f t="shared" si="3"/>
        <v>0.75340305913586847</v>
      </c>
      <c r="J16" s="35">
        <f t="shared" si="4"/>
        <v>0.80591368419268139</v>
      </c>
    </row>
    <row r="17" spans="1:10" x14ac:dyDescent="0.3">
      <c r="A17" s="11" t="s">
        <v>15</v>
      </c>
      <c r="B17" s="11">
        <v>1982</v>
      </c>
      <c r="C17" s="11">
        <v>2144</v>
      </c>
      <c r="D17" s="11">
        <v>1994</v>
      </c>
      <c r="E17" s="27">
        <f t="shared" si="0"/>
        <v>2040</v>
      </c>
      <c r="F17" s="72">
        <v>18.899999999999999</v>
      </c>
      <c r="G17" s="27">
        <f t="shared" si="1"/>
        <v>0.70121667098110274</v>
      </c>
      <c r="H17" s="27">
        <f t="shared" si="2"/>
        <v>1</v>
      </c>
      <c r="I17" s="27">
        <f t="shared" si="3"/>
        <v>0.7908516696867719</v>
      </c>
      <c r="J17" s="35">
        <f t="shared" si="4"/>
        <v>0.84597238495186267</v>
      </c>
    </row>
    <row r="18" spans="1:10" x14ac:dyDescent="0.3">
      <c r="A18" s="11" t="s">
        <v>16</v>
      </c>
      <c r="B18" s="11">
        <v>1934</v>
      </c>
      <c r="C18" s="11">
        <v>2399</v>
      </c>
      <c r="D18" s="11">
        <v>2471</v>
      </c>
      <c r="E18" s="27">
        <f t="shared" si="0"/>
        <v>2268</v>
      </c>
      <c r="F18" s="72">
        <v>63</v>
      </c>
      <c r="G18" s="27">
        <f t="shared" si="1"/>
        <v>0.66580377944602642</v>
      </c>
      <c r="H18" s="27">
        <f t="shared" si="2"/>
        <v>0.35901162790697672</v>
      </c>
      <c r="I18" s="27">
        <f t="shared" si="3"/>
        <v>0.57376613398431142</v>
      </c>
      <c r="J18" s="35">
        <f t="shared" si="4"/>
        <v>0.61375643926194612</v>
      </c>
    </row>
    <row r="19" spans="1:10" x14ac:dyDescent="0.3">
      <c r="A19" s="11" t="s">
        <v>17</v>
      </c>
      <c r="B19" s="11">
        <v>2452</v>
      </c>
      <c r="C19" s="11">
        <v>3187</v>
      </c>
      <c r="D19" s="11">
        <v>2920</v>
      </c>
      <c r="E19" s="27">
        <f t="shared" si="0"/>
        <v>2853</v>
      </c>
      <c r="F19" s="72">
        <v>26.4</v>
      </c>
      <c r="G19" s="27">
        <f t="shared" si="1"/>
        <v>0.57494175511260681</v>
      </c>
      <c r="H19" s="27">
        <f t="shared" si="2"/>
        <v>0.89098837209302317</v>
      </c>
      <c r="I19" s="27">
        <f t="shared" si="3"/>
        <v>0.66975574020673179</v>
      </c>
      <c r="J19" s="35">
        <f t="shared" si="4"/>
        <v>0.71643632124124745</v>
      </c>
    </row>
    <row r="20" spans="1:10" x14ac:dyDescent="0.3">
      <c r="A20" s="11" t="s">
        <v>18</v>
      </c>
      <c r="B20" s="11">
        <v>302</v>
      </c>
      <c r="C20" s="11">
        <v>446</v>
      </c>
      <c r="D20" s="11">
        <v>420</v>
      </c>
      <c r="E20" s="27">
        <f t="shared" si="0"/>
        <v>389.33333333333331</v>
      </c>
      <c r="F20" s="72">
        <v>31.4</v>
      </c>
      <c r="G20" s="27">
        <f t="shared" si="1"/>
        <v>0.95759772197773751</v>
      </c>
      <c r="H20" s="27">
        <f t="shared" si="2"/>
        <v>0.81831395348837199</v>
      </c>
      <c r="I20" s="27">
        <f t="shared" si="3"/>
        <v>0.91581259143092786</v>
      </c>
      <c r="J20" s="35">
        <f t="shared" si="4"/>
        <v>0.97964282284264448</v>
      </c>
    </row>
    <row r="21" spans="1:10" x14ac:dyDescent="0.3">
      <c r="A21" s="11" t="s">
        <v>19</v>
      </c>
      <c r="B21" s="11">
        <v>581</v>
      </c>
      <c r="C21" s="11">
        <v>570</v>
      </c>
      <c r="D21" s="11">
        <v>671</v>
      </c>
      <c r="E21" s="27">
        <f t="shared" si="0"/>
        <v>607.33333333333337</v>
      </c>
      <c r="F21" s="72">
        <v>21.6</v>
      </c>
      <c r="G21" s="27">
        <f t="shared" si="1"/>
        <v>0.92373802743981359</v>
      </c>
      <c r="H21" s="27">
        <f>($F$63-F21)/($F$63-$F$62)</f>
        <v>0.96075581395348808</v>
      </c>
      <c r="I21" s="27">
        <f t="shared" si="3"/>
        <v>0.93484336339391594</v>
      </c>
      <c r="J21" s="35">
        <f t="shared" si="4"/>
        <v>1</v>
      </c>
    </row>
    <row r="22" spans="1:10" x14ac:dyDescent="0.3">
      <c r="A22" s="11" t="s">
        <v>20</v>
      </c>
      <c r="B22" s="11">
        <v>2641</v>
      </c>
      <c r="C22" s="11">
        <v>3233</v>
      </c>
      <c r="D22" s="11">
        <v>3046</v>
      </c>
      <c r="E22" s="27">
        <f t="shared" si="0"/>
        <v>2973.3333333333335</v>
      </c>
      <c r="F22" s="72">
        <v>26.1</v>
      </c>
      <c r="G22" s="27">
        <f t="shared" si="1"/>
        <v>0.55625161791353872</v>
      </c>
      <c r="H22" s="27">
        <f t="shared" si="2"/>
        <v>0.89534883720930225</v>
      </c>
      <c r="I22" s="27">
        <f t="shared" si="3"/>
        <v>0.65798078370226776</v>
      </c>
      <c r="J22" s="35">
        <f t="shared" si="4"/>
        <v>0.70384067477731427</v>
      </c>
    </row>
    <row r="23" spans="1:10" x14ac:dyDescent="0.3">
      <c r="A23" s="11" t="s">
        <v>21</v>
      </c>
      <c r="B23" s="11">
        <v>138</v>
      </c>
      <c r="C23" s="11">
        <v>164</v>
      </c>
      <c r="D23" s="11">
        <v>173</v>
      </c>
      <c r="E23" s="27">
        <f t="shared" si="0"/>
        <v>158.33333333333334</v>
      </c>
      <c r="F23" s="72">
        <v>46.9</v>
      </c>
      <c r="G23" s="27">
        <f t="shared" si="1"/>
        <v>0.99347657261195965</v>
      </c>
      <c r="H23" s="27">
        <f t="shared" si="2"/>
        <v>0.59302325581395343</v>
      </c>
      <c r="I23" s="27">
        <f t="shared" si="3"/>
        <v>0.87334057757255767</v>
      </c>
      <c r="J23" s="35">
        <f t="shared" si="4"/>
        <v>0.93421059802138984</v>
      </c>
    </row>
    <row r="24" spans="1:10" x14ac:dyDescent="0.3">
      <c r="A24" s="11" t="s">
        <v>22</v>
      </c>
      <c r="B24" s="11">
        <v>2516</v>
      </c>
      <c r="C24" s="11">
        <v>2864</v>
      </c>
      <c r="D24" s="11">
        <v>2574</v>
      </c>
      <c r="E24" s="27">
        <f t="shared" si="0"/>
        <v>2651.3333333333335</v>
      </c>
      <c r="F24" s="72">
        <v>87.7</v>
      </c>
      <c r="G24" s="27">
        <f t="shared" si="1"/>
        <v>0.60626456122184824</v>
      </c>
      <c r="H24" s="27">
        <f t="shared" si="2"/>
        <v>0</v>
      </c>
      <c r="I24" s="27">
        <f t="shared" si="3"/>
        <v>0.42438519285529375</v>
      </c>
      <c r="J24" s="35">
        <f t="shared" si="4"/>
        <v>0.45396395746403784</v>
      </c>
    </row>
    <row r="25" spans="1:10" x14ac:dyDescent="0.3">
      <c r="A25" s="11" t="s">
        <v>23</v>
      </c>
      <c r="B25" s="11">
        <v>127</v>
      </c>
      <c r="C25" s="11">
        <v>271</v>
      </c>
      <c r="D25" s="11">
        <v>537</v>
      </c>
      <c r="E25" s="27">
        <f t="shared" si="0"/>
        <v>311.66666666666669</v>
      </c>
      <c r="F25" s="72">
        <v>45.8</v>
      </c>
      <c r="G25" s="27">
        <f t="shared" si="1"/>
        <v>0.96966088532228834</v>
      </c>
      <c r="H25" s="27">
        <f t="shared" si="2"/>
        <v>0.60901162790697672</v>
      </c>
      <c r="I25" s="27">
        <f t="shared" si="3"/>
        <v>0.86146610809769486</v>
      </c>
      <c r="J25" s="35">
        <f t="shared" si="4"/>
        <v>0.9215085027401515</v>
      </c>
    </row>
    <row r="26" spans="1:10" x14ac:dyDescent="0.3">
      <c r="A26" s="11" t="s">
        <v>24</v>
      </c>
      <c r="B26" s="11">
        <v>1551</v>
      </c>
      <c r="C26" s="11">
        <v>1712</v>
      </c>
      <c r="D26" s="11">
        <v>1369</v>
      </c>
      <c r="E26" s="27">
        <f t="shared" si="0"/>
        <v>1544</v>
      </c>
      <c r="F26" s="72">
        <v>29.8</v>
      </c>
      <c r="G26" s="27">
        <f t="shared" si="1"/>
        <v>0.7782552420398654</v>
      </c>
      <c r="H26" s="27">
        <f t="shared" si="2"/>
        <v>0.84156976744186041</v>
      </c>
      <c r="I26" s="27">
        <f t="shared" si="3"/>
        <v>0.79724959966046383</v>
      </c>
      <c r="J26" s="35">
        <f t="shared" si="4"/>
        <v>0.85281623732779921</v>
      </c>
    </row>
    <row r="27" spans="1:10" x14ac:dyDescent="0.3">
      <c r="A27" s="11" t="s">
        <v>25</v>
      </c>
      <c r="B27" s="11">
        <v>699</v>
      </c>
      <c r="C27" s="11">
        <v>933</v>
      </c>
      <c r="D27" s="11">
        <v>897</v>
      </c>
      <c r="E27" s="27">
        <f t="shared" si="0"/>
        <v>843</v>
      </c>
      <c r="F27" s="72">
        <v>29.1</v>
      </c>
      <c r="G27" s="27">
        <f t="shared" si="1"/>
        <v>0.88713435154025366</v>
      </c>
      <c r="H27" s="27">
        <f t="shared" si="2"/>
        <v>0.85174418604651148</v>
      </c>
      <c r="I27" s="27">
        <f t="shared" si="3"/>
        <v>0.87651730189213095</v>
      </c>
      <c r="J27" s="35">
        <f t="shared" si="4"/>
        <v>0.93760873341386919</v>
      </c>
    </row>
    <row r="28" spans="1:10" x14ac:dyDescent="0.3">
      <c r="A28" s="11" t="s">
        <v>26</v>
      </c>
      <c r="B28" s="11">
        <v>2341</v>
      </c>
      <c r="C28" s="11">
        <v>2348</v>
      </c>
      <c r="D28" s="11">
        <v>2681</v>
      </c>
      <c r="E28" s="27">
        <f t="shared" si="0"/>
        <v>2456.6666666666665</v>
      </c>
      <c r="F28" s="72">
        <v>37.1</v>
      </c>
      <c r="G28" s="27">
        <f t="shared" si="1"/>
        <v>0.63650012943308298</v>
      </c>
      <c r="H28" s="27">
        <f t="shared" si="2"/>
        <v>0.73546511627906963</v>
      </c>
      <c r="I28" s="27">
        <f t="shared" si="3"/>
        <v>0.66618962548687888</v>
      </c>
      <c r="J28" s="35">
        <f t="shared" si="4"/>
        <v>0.71262165574808267</v>
      </c>
    </row>
    <row r="29" spans="1:10" x14ac:dyDescent="0.3">
      <c r="A29" s="11" t="s">
        <v>27</v>
      </c>
      <c r="B29" s="11">
        <v>111</v>
      </c>
      <c r="C29" s="11">
        <v>118</v>
      </c>
      <c r="D29" s="11">
        <v>120</v>
      </c>
      <c r="E29" s="27">
        <f t="shared" si="0"/>
        <v>116.33333333333333</v>
      </c>
      <c r="F29" s="72">
        <v>68</v>
      </c>
      <c r="G29" s="27">
        <f t="shared" si="1"/>
        <v>1</v>
      </c>
      <c r="H29" s="27">
        <f t="shared" si="2"/>
        <v>0.28633720930232559</v>
      </c>
      <c r="I29" s="27">
        <f t="shared" si="3"/>
        <v>0.78590116279069766</v>
      </c>
      <c r="J29" s="35">
        <f t="shared" si="4"/>
        <v>0.84067683802932625</v>
      </c>
    </row>
    <row r="30" spans="1:10" x14ac:dyDescent="0.3">
      <c r="A30" s="11" t="s">
        <v>28</v>
      </c>
      <c r="B30" s="11">
        <v>127</v>
      </c>
      <c r="C30" s="11">
        <v>127</v>
      </c>
      <c r="D30" s="11">
        <v>170</v>
      </c>
      <c r="E30" s="27">
        <f t="shared" si="0"/>
        <v>141.33333333333334</v>
      </c>
      <c r="F30" s="72">
        <v>41.6</v>
      </c>
      <c r="G30" s="27">
        <f t="shared" si="1"/>
        <v>0.99611700750711885</v>
      </c>
      <c r="H30" s="27">
        <f t="shared" si="2"/>
        <v>0.67005813953488358</v>
      </c>
      <c r="I30" s="27">
        <f t="shared" si="3"/>
        <v>0.89829934711544823</v>
      </c>
      <c r="J30" s="35">
        <f t="shared" si="4"/>
        <v>0.96090894185118247</v>
      </c>
    </row>
    <row r="31" spans="1:10" x14ac:dyDescent="0.3">
      <c r="A31" s="11" t="s">
        <v>29</v>
      </c>
      <c r="B31" s="11">
        <v>2830</v>
      </c>
      <c r="C31" s="11">
        <v>4053</v>
      </c>
      <c r="D31" s="11">
        <v>3116</v>
      </c>
      <c r="E31" s="27">
        <f t="shared" si="0"/>
        <v>3333</v>
      </c>
      <c r="F31" s="72">
        <v>38.200000000000003</v>
      </c>
      <c r="G31" s="27">
        <f t="shared" si="1"/>
        <v>0.50038829924928807</v>
      </c>
      <c r="H31" s="27">
        <f t="shared" si="2"/>
        <v>0.71947674418604635</v>
      </c>
      <c r="I31" s="27">
        <f t="shared" si="3"/>
        <v>0.5661148327303156</v>
      </c>
      <c r="J31" s="35">
        <f t="shared" si="4"/>
        <v>0.60557185823628845</v>
      </c>
    </row>
    <row r="32" spans="1:10" x14ac:dyDescent="0.3">
      <c r="A32" s="11" t="s">
        <v>30</v>
      </c>
      <c r="B32" s="11">
        <v>3839</v>
      </c>
      <c r="C32" s="11">
        <v>4161</v>
      </c>
      <c r="D32" s="11">
        <v>3944</v>
      </c>
      <c r="E32" s="27">
        <f t="shared" si="0"/>
        <v>3981.3333333333335</v>
      </c>
      <c r="F32" s="72">
        <v>67.900000000000006</v>
      </c>
      <c r="G32" s="27">
        <f t="shared" si="1"/>
        <v>0.39968936060056948</v>
      </c>
      <c r="H32" s="27">
        <f t="shared" si="2"/>
        <v>0.28779069767441851</v>
      </c>
      <c r="I32" s="27">
        <f t="shared" si="3"/>
        <v>0.3661197617227242</v>
      </c>
      <c r="J32" s="35">
        <f t="shared" si="4"/>
        <v>0.39163754705765819</v>
      </c>
    </row>
    <row r="33" spans="1:10" x14ac:dyDescent="0.3">
      <c r="A33" s="11" t="s">
        <v>31</v>
      </c>
      <c r="B33" s="11">
        <v>1779</v>
      </c>
      <c r="C33" s="11">
        <v>1488</v>
      </c>
      <c r="D33" s="11">
        <v>1369</v>
      </c>
      <c r="E33" s="27">
        <f t="shared" si="0"/>
        <v>1545.3333333333333</v>
      </c>
      <c r="F33" s="72">
        <v>27.3</v>
      </c>
      <c r="G33" s="27">
        <f t="shared" si="1"/>
        <v>0.77804814910691178</v>
      </c>
      <c r="H33" s="27">
        <f t="shared" si="2"/>
        <v>0.87790697674418594</v>
      </c>
      <c r="I33" s="27">
        <f t="shared" si="3"/>
        <v>0.80800579739809386</v>
      </c>
      <c r="J33" s="35">
        <f t="shared" si="4"/>
        <v>0.86432211965933758</v>
      </c>
    </row>
    <row r="34" spans="1:10" x14ac:dyDescent="0.3">
      <c r="A34" s="11" t="s">
        <v>32</v>
      </c>
      <c r="B34" s="11">
        <v>3010</v>
      </c>
      <c r="C34" s="11">
        <v>4230</v>
      </c>
      <c r="D34" s="11">
        <v>3084</v>
      </c>
      <c r="E34" s="27">
        <f t="shared" si="0"/>
        <v>3441.3333333333335</v>
      </c>
      <c r="F34" s="72">
        <v>30.1</v>
      </c>
      <c r="G34" s="27">
        <f t="shared" si="1"/>
        <v>0.48356199844680298</v>
      </c>
      <c r="H34" s="27">
        <f t="shared" si="2"/>
        <v>0.83720930232558133</v>
      </c>
      <c r="I34" s="27">
        <f t="shared" si="3"/>
        <v>0.58965618961043642</v>
      </c>
      <c r="J34" s="35">
        <f t="shared" si="4"/>
        <v>0.63075399869097892</v>
      </c>
    </row>
    <row r="35" spans="1:10" x14ac:dyDescent="0.3">
      <c r="A35" s="11" t="s">
        <v>33</v>
      </c>
      <c r="B35" s="11">
        <v>3546</v>
      </c>
      <c r="C35" s="11">
        <v>4230</v>
      </c>
      <c r="D35" s="11">
        <v>3297</v>
      </c>
      <c r="E35" s="27">
        <f t="shared" si="0"/>
        <v>3691</v>
      </c>
      <c r="F35" s="72">
        <v>31.7</v>
      </c>
      <c r="G35" s="27">
        <f t="shared" si="1"/>
        <v>0.44478384675122962</v>
      </c>
      <c r="H35" s="27">
        <f t="shared" si="2"/>
        <v>0.81395348837209291</v>
      </c>
      <c r="I35" s="27">
        <f t="shared" si="3"/>
        <v>0.55553473923748853</v>
      </c>
      <c r="J35" s="35">
        <f t="shared" si="4"/>
        <v>0.59425435424886497</v>
      </c>
    </row>
    <row r="36" spans="1:10" x14ac:dyDescent="0.3">
      <c r="A36" s="11" t="s">
        <v>34</v>
      </c>
      <c r="B36" s="11">
        <v>2722</v>
      </c>
      <c r="C36" s="11">
        <v>3517</v>
      </c>
      <c r="D36" s="11">
        <v>3242</v>
      </c>
      <c r="E36" s="27">
        <f t="shared" si="0"/>
        <v>3160.3333333333335</v>
      </c>
      <c r="F36" s="72">
        <v>34.799999999999997</v>
      </c>
      <c r="G36" s="27">
        <f t="shared" si="1"/>
        <v>0.52720683406678748</v>
      </c>
      <c r="H36" s="27">
        <f t="shared" si="2"/>
        <v>0.76889534883720922</v>
      </c>
      <c r="I36" s="27">
        <f t="shared" si="3"/>
        <v>0.599713388497914</v>
      </c>
      <c r="J36" s="35">
        <f t="shared" si="4"/>
        <v>0.64151216340743511</v>
      </c>
    </row>
    <row r="37" spans="1:10" x14ac:dyDescent="0.3">
      <c r="A37" s="11" t="s">
        <v>35</v>
      </c>
      <c r="B37" s="11">
        <v>3958</v>
      </c>
      <c r="C37" s="11">
        <v>4450</v>
      </c>
      <c r="D37" s="11">
        <v>3995</v>
      </c>
      <c r="E37" s="27">
        <f t="shared" si="0"/>
        <v>4134.333333333333</v>
      </c>
      <c r="F37" s="72">
        <v>41.3</v>
      </c>
      <c r="G37" s="27">
        <f t="shared" si="1"/>
        <v>0.37592544654413673</v>
      </c>
      <c r="H37" s="27">
        <f t="shared" si="2"/>
        <v>0.67441860465116277</v>
      </c>
      <c r="I37" s="27">
        <f t="shared" si="3"/>
        <v>0.46547339397624454</v>
      </c>
      <c r="J37" s="35">
        <f t="shared" si="4"/>
        <v>0.49791592068040125</v>
      </c>
    </row>
    <row r="38" spans="1:10" x14ac:dyDescent="0.3">
      <c r="A38" s="11" t="s">
        <v>36</v>
      </c>
      <c r="B38" s="11">
        <v>199</v>
      </c>
      <c r="C38" s="11">
        <v>445</v>
      </c>
      <c r="D38" s="11">
        <v>442</v>
      </c>
      <c r="E38" s="27">
        <f t="shared" si="0"/>
        <v>362</v>
      </c>
      <c r="F38" s="72">
        <v>70.599999999999994</v>
      </c>
      <c r="G38" s="27">
        <f t="shared" si="1"/>
        <v>0.96184312710328757</v>
      </c>
      <c r="H38" s="27">
        <f t="shared" si="2"/>
        <v>0.24854651162790706</v>
      </c>
      <c r="I38" s="27">
        <f t="shared" si="3"/>
        <v>0.74785414246067339</v>
      </c>
      <c r="J38" s="35">
        <f t="shared" si="4"/>
        <v>0.79997801957497483</v>
      </c>
    </row>
    <row r="39" spans="1:10" x14ac:dyDescent="0.3">
      <c r="A39" s="11" t="s">
        <v>37</v>
      </c>
      <c r="B39" s="11">
        <v>2720</v>
      </c>
      <c r="C39" s="11">
        <v>3339</v>
      </c>
      <c r="D39" s="11">
        <v>2810</v>
      </c>
      <c r="E39" s="27">
        <f t="shared" si="0"/>
        <v>2956.3333333333335</v>
      </c>
      <c r="F39" s="72">
        <v>30.1</v>
      </c>
      <c r="G39" s="27">
        <f t="shared" si="1"/>
        <v>0.55889205280869791</v>
      </c>
      <c r="H39" s="27">
        <f t="shared" si="2"/>
        <v>0.83720930232558133</v>
      </c>
      <c r="I39" s="27">
        <f t="shared" si="3"/>
        <v>0.64238722766376288</v>
      </c>
      <c r="J39" s="35">
        <f t="shared" si="4"/>
        <v>0.68716028034001186</v>
      </c>
    </row>
    <row r="40" spans="1:10" x14ac:dyDescent="0.3">
      <c r="A40" s="11" t="s">
        <v>38</v>
      </c>
      <c r="B40" s="11">
        <v>3255</v>
      </c>
      <c r="C40" s="11">
        <v>3807</v>
      </c>
      <c r="D40" s="11">
        <v>3488</v>
      </c>
      <c r="E40" s="27">
        <f t="shared" si="0"/>
        <v>3516.6666666666665</v>
      </c>
      <c r="F40" s="72">
        <v>62.6</v>
      </c>
      <c r="G40" s="27">
        <f t="shared" si="1"/>
        <v>0.47186124773492105</v>
      </c>
      <c r="H40" s="27">
        <f t="shared" si="2"/>
        <v>0.36482558139534882</v>
      </c>
      <c r="I40" s="27">
        <f t="shared" si="3"/>
        <v>0.43975054783304934</v>
      </c>
      <c r="J40" s="35">
        <f t="shared" si="4"/>
        <v>0.47040024570164402</v>
      </c>
    </row>
    <row r="41" spans="1:10" x14ac:dyDescent="0.3">
      <c r="A41" s="11" t="s">
        <v>39</v>
      </c>
      <c r="B41" s="11">
        <v>3875</v>
      </c>
      <c r="C41" s="11">
        <v>4511</v>
      </c>
      <c r="D41" s="11">
        <v>3764</v>
      </c>
      <c r="E41" s="27">
        <f t="shared" si="0"/>
        <v>4050</v>
      </c>
      <c r="F41" s="72">
        <v>39</v>
      </c>
      <c r="G41" s="27">
        <f t="shared" si="1"/>
        <v>0.38902407455345589</v>
      </c>
      <c r="H41" s="27">
        <f t="shared" si="2"/>
        <v>0.70784883720930225</v>
      </c>
      <c r="I41" s="27">
        <f t="shared" si="3"/>
        <v>0.48467150335020975</v>
      </c>
      <c r="J41" s="35">
        <f t="shared" si="4"/>
        <v>0.5184520983179759</v>
      </c>
    </row>
    <row r="42" spans="1:10" x14ac:dyDescent="0.3">
      <c r="A42" s="11" t="s">
        <v>40</v>
      </c>
      <c r="B42" s="11">
        <v>240</v>
      </c>
      <c r="C42" s="11">
        <v>497</v>
      </c>
      <c r="D42" s="11">
        <v>257</v>
      </c>
      <c r="E42" s="27">
        <f t="shared" si="0"/>
        <v>331.33333333333331</v>
      </c>
      <c r="F42" s="72">
        <v>33.1</v>
      </c>
      <c r="G42" s="27">
        <f t="shared" si="1"/>
        <v>0.9666062645612219</v>
      </c>
      <c r="H42" s="27">
        <f t="shared" si="2"/>
        <v>0.79360465116279055</v>
      </c>
      <c r="I42" s="27">
        <f t="shared" si="3"/>
        <v>0.91470578054169249</v>
      </c>
      <c r="J42" s="35">
        <f t="shared" si="4"/>
        <v>0.97845886953819228</v>
      </c>
    </row>
    <row r="43" spans="1:10" x14ac:dyDescent="0.3">
      <c r="A43" s="11" t="s">
        <v>41</v>
      </c>
      <c r="B43" s="11">
        <v>224</v>
      </c>
      <c r="C43" s="11">
        <v>298</v>
      </c>
      <c r="D43" s="11">
        <v>259</v>
      </c>
      <c r="E43" s="27">
        <f t="shared" si="0"/>
        <v>260.33333333333331</v>
      </c>
      <c r="F43" s="72">
        <v>55.1</v>
      </c>
      <c r="G43" s="27">
        <f t="shared" si="1"/>
        <v>0.97763396324100438</v>
      </c>
      <c r="H43" s="27">
        <f t="shared" si="2"/>
        <v>0.47383720930232553</v>
      </c>
      <c r="I43" s="27">
        <f t="shared" si="3"/>
        <v>0.82649493705940069</v>
      </c>
      <c r="J43" s="35">
        <f t="shared" si="4"/>
        <v>0.8840999138709611</v>
      </c>
    </row>
    <row r="44" spans="1:10" x14ac:dyDescent="0.3">
      <c r="A44" s="11" t="s">
        <v>42</v>
      </c>
      <c r="B44" s="11">
        <v>196</v>
      </c>
      <c r="C44" s="11">
        <v>318</v>
      </c>
      <c r="D44" s="11">
        <v>397</v>
      </c>
      <c r="E44" s="27">
        <f t="shared" si="0"/>
        <v>303.66666666666669</v>
      </c>
      <c r="F44" s="73">
        <v>58.8</v>
      </c>
      <c r="G44" s="27">
        <f t="shared" si="1"/>
        <v>0.9709034429200103</v>
      </c>
      <c r="H44" s="27">
        <f t="shared" si="2"/>
        <v>0.42005813953488375</v>
      </c>
      <c r="I44" s="27">
        <f t="shared" si="3"/>
        <v>0.80564985190447236</v>
      </c>
      <c r="J44" s="35">
        <f t="shared" si="4"/>
        <v>0.86180196966857514</v>
      </c>
    </row>
    <row r="45" spans="1:10" x14ac:dyDescent="0.3">
      <c r="A45" s="11" t="s">
        <v>43</v>
      </c>
      <c r="B45" s="11">
        <v>2474</v>
      </c>
      <c r="C45" s="11">
        <v>2622</v>
      </c>
      <c r="D45" s="11">
        <v>2456</v>
      </c>
      <c r="E45" s="27">
        <f t="shared" si="0"/>
        <v>2517.3333333333335</v>
      </c>
      <c r="F45" s="72">
        <v>33.9</v>
      </c>
      <c r="G45" s="27">
        <f t="shared" si="1"/>
        <v>0.62707740098369136</v>
      </c>
      <c r="H45" s="27">
        <f t="shared" si="2"/>
        <v>0.78197674418604646</v>
      </c>
      <c r="I45" s="27">
        <f t="shared" si="3"/>
        <v>0.67354720394439793</v>
      </c>
      <c r="J45" s="35">
        <f t="shared" si="4"/>
        <v>0.72049204210971607</v>
      </c>
    </row>
    <row r="46" spans="1:10" x14ac:dyDescent="0.3">
      <c r="A46" s="11" t="s">
        <v>44</v>
      </c>
      <c r="B46" s="11">
        <v>4867</v>
      </c>
      <c r="C46" s="11">
        <v>5814</v>
      </c>
      <c r="D46" s="11">
        <v>5384</v>
      </c>
      <c r="E46" s="27">
        <f t="shared" si="0"/>
        <v>5355</v>
      </c>
      <c r="F46" s="72">
        <v>60.3</v>
      </c>
      <c r="G46" s="27">
        <f t="shared" si="1"/>
        <v>0.18633186642505828</v>
      </c>
      <c r="H46" s="27">
        <f t="shared" si="2"/>
        <v>0.39825581395348841</v>
      </c>
      <c r="I46" s="27">
        <f t="shared" si="3"/>
        <v>0.24990905068358732</v>
      </c>
      <c r="J46" s="35">
        <f t="shared" si="4"/>
        <v>0.26732719134497707</v>
      </c>
    </row>
    <row r="47" spans="1:10" x14ac:dyDescent="0.3">
      <c r="A47" s="11" t="s">
        <v>45</v>
      </c>
      <c r="B47" s="11">
        <v>3201</v>
      </c>
      <c r="C47" s="11">
        <v>3132</v>
      </c>
      <c r="D47" s="11">
        <v>3569</v>
      </c>
      <c r="E47" s="27">
        <f t="shared" si="0"/>
        <v>3300.6666666666665</v>
      </c>
      <c r="F47" s="72">
        <v>25</v>
      </c>
      <c r="G47" s="27">
        <f t="shared" si="1"/>
        <v>0.50541030287341449</v>
      </c>
      <c r="H47" s="27">
        <f t="shared" si="2"/>
        <v>0.91133720930232542</v>
      </c>
      <c r="I47" s="27">
        <f t="shared" si="3"/>
        <v>0.62718837480208767</v>
      </c>
      <c r="J47" s="35">
        <f t="shared" si="4"/>
        <v>0.67090209906941234</v>
      </c>
    </row>
    <row r="48" spans="1:10" x14ac:dyDescent="0.3">
      <c r="A48" s="11" t="s">
        <v>46</v>
      </c>
      <c r="B48" s="11">
        <v>6063</v>
      </c>
      <c r="C48" s="11">
        <v>7006</v>
      </c>
      <c r="D48" s="11">
        <v>5904</v>
      </c>
      <c r="E48" s="27">
        <f t="shared" si="0"/>
        <v>6324.333333333333</v>
      </c>
      <c r="F48" s="72">
        <v>34.299999999999997</v>
      </c>
      <c r="G48" s="27">
        <f t="shared" si="1"/>
        <v>3.5775304167745367E-2</v>
      </c>
      <c r="H48" s="27">
        <f t="shared" si="2"/>
        <v>0.77616279069767435</v>
      </c>
      <c r="I48" s="27">
        <f t="shared" si="3"/>
        <v>0.25789155012672405</v>
      </c>
      <c r="J48" s="35">
        <f t="shared" si="4"/>
        <v>0.27586605438418887</v>
      </c>
    </row>
    <row r="49" spans="1:10" x14ac:dyDescent="0.3">
      <c r="A49" s="11" t="s">
        <v>47</v>
      </c>
      <c r="B49" s="11">
        <v>149</v>
      </c>
      <c r="C49" s="11">
        <v>155</v>
      </c>
      <c r="D49" s="11">
        <v>153</v>
      </c>
      <c r="E49" s="27">
        <f t="shared" si="0"/>
        <v>152.33333333333334</v>
      </c>
      <c r="F49" s="73">
        <v>69</v>
      </c>
      <c r="G49" s="27">
        <f t="shared" si="1"/>
        <v>0.99440849081025107</v>
      </c>
      <c r="H49" s="27">
        <f t="shared" si="2"/>
        <v>0.27180232558139533</v>
      </c>
      <c r="I49" s="27">
        <f t="shared" si="3"/>
        <v>0.77762664124159431</v>
      </c>
      <c r="J49" s="35">
        <f t="shared" si="4"/>
        <v>0.83182559955118918</v>
      </c>
    </row>
    <row r="50" spans="1:10" x14ac:dyDescent="0.3">
      <c r="A50" s="11" t="s">
        <v>48</v>
      </c>
      <c r="B50" s="11">
        <v>2522</v>
      </c>
      <c r="C50" s="11">
        <v>3079</v>
      </c>
      <c r="D50" s="11">
        <v>3798</v>
      </c>
      <c r="E50" s="27">
        <f t="shared" si="0"/>
        <v>3133</v>
      </c>
      <c r="F50" s="72">
        <v>61.6</v>
      </c>
      <c r="G50" s="27">
        <f t="shared" si="1"/>
        <v>0.53145223919233753</v>
      </c>
      <c r="H50" s="27">
        <f t="shared" si="2"/>
        <v>0.37936046511627902</v>
      </c>
      <c r="I50" s="27">
        <f t="shared" si="3"/>
        <v>0.48582470696951996</v>
      </c>
      <c r="J50" s="35">
        <f t="shared" si="4"/>
        <v>0.51968567782922526</v>
      </c>
    </row>
    <row r="51" spans="1:10" x14ac:dyDescent="0.3">
      <c r="A51" s="11" t="s">
        <v>49</v>
      </c>
      <c r="B51" s="11">
        <v>345</v>
      </c>
      <c r="C51" s="11">
        <v>473</v>
      </c>
      <c r="D51" s="11">
        <v>723</v>
      </c>
      <c r="E51" s="27">
        <f t="shared" si="0"/>
        <v>513.66666666666663</v>
      </c>
      <c r="F51" s="72">
        <v>38.700000000000003</v>
      </c>
      <c r="G51" s="27">
        <f t="shared" si="1"/>
        <v>0.93828630597980833</v>
      </c>
      <c r="H51" s="27">
        <f t="shared" si="2"/>
        <v>0.71220930232558133</v>
      </c>
      <c r="I51" s="27">
        <f t="shared" si="3"/>
        <v>0.87046320488354012</v>
      </c>
      <c r="J51" s="35">
        <f t="shared" si="4"/>
        <v>0.93113267844503289</v>
      </c>
    </row>
    <row r="52" spans="1:10" x14ac:dyDescent="0.3">
      <c r="A52" s="11" t="s">
        <v>50</v>
      </c>
      <c r="B52" s="11">
        <v>127</v>
      </c>
      <c r="C52" s="11">
        <v>158</v>
      </c>
      <c r="D52" s="11">
        <v>453</v>
      </c>
      <c r="E52" s="27">
        <f t="shared" si="0"/>
        <v>246</v>
      </c>
      <c r="F52" s="72">
        <v>53</v>
      </c>
      <c r="G52" s="27">
        <f t="shared" si="1"/>
        <v>0.97986021227025621</v>
      </c>
      <c r="H52" s="27">
        <f t="shared" si="2"/>
        <v>0.50436046511627908</v>
      </c>
      <c r="I52" s="27">
        <f t="shared" si="3"/>
        <v>0.83721028812406306</v>
      </c>
      <c r="J52" s="35">
        <f t="shared" si="4"/>
        <v>0.89556210260144609</v>
      </c>
    </row>
    <row r="53" spans="1:10" x14ac:dyDescent="0.3">
      <c r="A53" s="11" t="s">
        <v>51</v>
      </c>
      <c r="B53" s="11">
        <v>2827</v>
      </c>
      <c r="C53" s="11">
        <v>2882</v>
      </c>
      <c r="D53" s="11">
        <v>2866</v>
      </c>
      <c r="E53" s="27">
        <f t="shared" si="0"/>
        <v>2858.3333333333335</v>
      </c>
      <c r="F53" s="72">
        <v>48.9</v>
      </c>
      <c r="G53" s="27">
        <f t="shared" si="1"/>
        <v>0.5741133833807921</v>
      </c>
      <c r="H53" s="27">
        <f t="shared" si="2"/>
        <v>0.56395348837209303</v>
      </c>
      <c r="I53" s="27">
        <f t="shared" si="3"/>
        <v>0.57106541487818241</v>
      </c>
      <c r="J53" s="35">
        <f t="shared" si="4"/>
        <v>0.61086748565551074</v>
      </c>
    </row>
    <row r="54" spans="1:10" x14ac:dyDescent="0.3">
      <c r="A54" s="11" t="s">
        <v>52</v>
      </c>
      <c r="B54" s="11">
        <v>3724</v>
      </c>
      <c r="C54" s="11">
        <v>4302</v>
      </c>
      <c r="D54" s="11">
        <v>3111</v>
      </c>
      <c r="E54" s="27">
        <f t="shared" si="0"/>
        <v>3712.3333333333335</v>
      </c>
      <c r="F54" s="72">
        <v>40.4</v>
      </c>
      <c r="G54" s="27">
        <f t="shared" si="1"/>
        <v>0.44147035982397098</v>
      </c>
      <c r="H54" s="27">
        <f t="shared" si="2"/>
        <v>0.6875</v>
      </c>
      <c r="I54" s="27">
        <f t="shared" si="3"/>
        <v>0.5152792518767797</v>
      </c>
      <c r="J54" s="35">
        <f t="shared" si="4"/>
        <v>0.55119314320858681</v>
      </c>
    </row>
    <row r="55" spans="1:10" x14ac:dyDescent="0.3">
      <c r="A55" s="11" t="s">
        <v>53</v>
      </c>
      <c r="B55" s="11">
        <v>736</v>
      </c>
      <c r="C55" s="11">
        <v>610</v>
      </c>
      <c r="D55" s="11">
        <v>596</v>
      </c>
      <c r="E55" s="27">
        <f t="shared" si="0"/>
        <v>647.33333333333337</v>
      </c>
      <c r="F55" s="72">
        <v>54.1</v>
      </c>
      <c r="G55" s="27">
        <f t="shared" si="1"/>
        <v>0.91752523945120379</v>
      </c>
      <c r="H55" s="27">
        <f t="shared" si="2"/>
        <v>0.48837209302325574</v>
      </c>
      <c r="I55" s="27">
        <f t="shared" si="3"/>
        <v>0.78877929552281933</v>
      </c>
      <c r="J55" s="35">
        <f t="shared" si="4"/>
        <v>0.84375557062220974</v>
      </c>
    </row>
    <row r="56" spans="1:10" x14ac:dyDescent="0.3">
      <c r="A56" s="11" t="s">
        <v>54</v>
      </c>
      <c r="B56" s="11">
        <v>4116</v>
      </c>
      <c r="C56" s="11">
        <v>4889</v>
      </c>
      <c r="D56" s="11">
        <v>3411</v>
      </c>
      <c r="E56" s="27">
        <f t="shared" si="0"/>
        <v>4138.666666666667</v>
      </c>
      <c r="F56" s="72">
        <v>33.5</v>
      </c>
      <c r="G56" s="27">
        <f t="shared" si="1"/>
        <v>0.37525239451203724</v>
      </c>
      <c r="H56" s="27">
        <f t="shared" si="2"/>
        <v>0.78779069767441856</v>
      </c>
      <c r="I56" s="27">
        <f t="shared" si="3"/>
        <v>0.49901388546075159</v>
      </c>
      <c r="J56" s="35">
        <f t="shared" si="4"/>
        <v>0.53379411460878246</v>
      </c>
    </row>
    <row r="57" spans="1:10" x14ac:dyDescent="0.3">
      <c r="A57" s="11" t="s">
        <v>55</v>
      </c>
      <c r="B57" s="11">
        <v>2787</v>
      </c>
      <c r="C57" s="11">
        <v>3181</v>
      </c>
      <c r="D57" s="11">
        <v>2755</v>
      </c>
      <c r="E57" s="27">
        <f t="shared" si="0"/>
        <v>2907.6666666666665</v>
      </c>
      <c r="F57" s="72">
        <v>26.6</v>
      </c>
      <c r="G57" s="27">
        <f t="shared" si="1"/>
        <v>0.5664509448615066</v>
      </c>
      <c r="H57" s="27">
        <f t="shared" si="2"/>
        <v>0.88808139534883712</v>
      </c>
      <c r="I57" s="27">
        <f t="shared" si="3"/>
        <v>0.66294008000770566</v>
      </c>
      <c r="J57" s="35">
        <f t="shared" si="4"/>
        <v>0.70914562371275225</v>
      </c>
    </row>
    <row r="58" spans="1:10" x14ac:dyDescent="0.3">
      <c r="A58" s="11" t="s">
        <v>56</v>
      </c>
      <c r="B58" s="11">
        <v>5994</v>
      </c>
      <c r="C58" s="11">
        <v>6959</v>
      </c>
      <c r="D58" s="11">
        <v>6711</v>
      </c>
      <c r="E58" s="27">
        <f t="shared" si="0"/>
        <v>6554.666666666667</v>
      </c>
      <c r="F58" s="72">
        <f>(109.6/108.31)*F2</f>
        <v>68.50632443910996</v>
      </c>
      <c r="G58" s="27">
        <f t="shared" si="1"/>
        <v>0</v>
      </c>
      <c r="H58" s="27">
        <f t="shared" si="2"/>
        <v>0.27897784245479706</v>
      </c>
      <c r="I58" s="27">
        <f t="shared" si="3"/>
        <v>8.3693352736439117E-2</v>
      </c>
      <c r="J58" s="35">
        <f t="shared" si="4"/>
        <v>8.9526605219288652E-2</v>
      </c>
    </row>
    <row r="59" spans="1:10" x14ac:dyDescent="0.3">
      <c r="A59" s="11" t="s">
        <v>57</v>
      </c>
      <c r="B59" s="11">
        <v>2809</v>
      </c>
      <c r="C59" s="11">
        <v>3031</v>
      </c>
      <c r="D59" s="11">
        <v>2854</v>
      </c>
      <c r="E59" s="27">
        <f t="shared" si="0"/>
        <v>2898</v>
      </c>
      <c r="F59" s="72">
        <v>64.5</v>
      </c>
      <c r="G59" s="27">
        <f t="shared" si="1"/>
        <v>0.56795236862542064</v>
      </c>
      <c r="H59" s="27">
        <f t="shared" si="2"/>
        <v>0.33720930232558138</v>
      </c>
      <c r="I59" s="27">
        <f t="shared" si="3"/>
        <v>0.49872944873546887</v>
      </c>
      <c r="J59" s="35">
        <f t="shared" si="4"/>
        <v>0.53348985323578613</v>
      </c>
    </row>
    <row r="60" spans="1:10" x14ac:dyDescent="0.3">
      <c r="A60" s="11" t="s">
        <v>58</v>
      </c>
      <c r="B60" s="11">
        <v>207</v>
      </c>
      <c r="C60" s="11">
        <v>302</v>
      </c>
      <c r="D60" s="11">
        <v>360</v>
      </c>
      <c r="E60" s="27">
        <f t="shared" si="0"/>
        <v>289.66666666666669</v>
      </c>
      <c r="F60" s="72">
        <v>56.8</v>
      </c>
      <c r="G60" s="27">
        <f t="shared" si="1"/>
        <v>0.97307791871602367</v>
      </c>
      <c r="H60" s="27">
        <f t="shared" si="2"/>
        <v>0.44912790697674421</v>
      </c>
      <c r="I60" s="27">
        <f t="shared" si="3"/>
        <v>0.81589291519423979</v>
      </c>
      <c r="J60" s="35">
        <f t="shared" si="4"/>
        <v>0.87275895314929475</v>
      </c>
    </row>
    <row r="61" spans="1:10" x14ac:dyDescent="0.3">
      <c r="A61" s="11" t="s">
        <v>59</v>
      </c>
      <c r="B61" s="11">
        <v>127</v>
      </c>
      <c r="C61" s="11">
        <v>199</v>
      </c>
      <c r="D61" s="11">
        <v>672</v>
      </c>
      <c r="E61" s="27">
        <f t="shared" si="0"/>
        <v>332.66666666666669</v>
      </c>
      <c r="F61" s="72">
        <v>52.4</v>
      </c>
      <c r="G61" s="27">
        <f t="shared" si="1"/>
        <v>0.96639917162826805</v>
      </c>
      <c r="H61" s="27">
        <f t="shared" si="2"/>
        <v>0.51308139534883723</v>
      </c>
      <c r="I61" s="27">
        <f t="shared" si="3"/>
        <v>0.83040383874443879</v>
      </c>
      <c r="J61" s="35">
        <f t="shared" si="4"/>
        <v>0.88828125786729328</v>
      </c>
    </row>
    <row r="62" spans="1:10" x14ac:dyDescent="0.3">
      <c r="D62" s="49" t="s">
        <v>601</v>
      </c>
      <c r="E62" s="32">
        <f>MIN(E2:E61)</f>
        <v>116.33333333333333</v>
      </c>
      <c r="F62" s="71">
        <f>MIN(F2:F61)</f>
        <v>18.899999999999999</v>
      </c>
      <c r="H62" s="31"/>
    </row>
    <row r="63" spans="1:10" x14ac:dyDescent="0.3">
      <c r="D63" s="49" t="s">
        <v>502</v>
      </c>
      <c r="E63" s="32">
        <f>MAX(E2:E61)</f>
        <v>6554.666666666667</v>
      </c>
      <c r="F63" s="71">
        <f>MAX(F2:F61)</f>
        <v>87.7</v>
      </c>
      <c r="I63">
        <f>MAX(I2:I61)</f>
        <v>0.93484336339391594</v>
      </c>
    </row>
    <row r="64" spans="1:10" x14ac:dyDescent="0.3">
      <c r="A64" s="1"/>
    </row>
    <row r="69" spans="1:1" x14ac:dyDescent="0.3">
      <c r="A69" s="1"/>
    </row>
  </sheetData>
  <mergeCells count="1">
    <mergeCell ref="L14:N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9FD9-A553-4C24-91BE-467D73C3E891}">
  <dimension ref="A1:G70"/>
  <sheetViews>
    <sheetView tabSelected="1" workbookViewId="0">
      <selection activeCell="I13" sqref="I13"/>
    </sheetView>
  </sheetViews>
  <sheetFormatPr defaultRowHeight="14.4" x14ac:dyDescent="0.3"/>
  <cols>
    <col min="1" max="1" width="18.88671875" customWidth="1"/>
    <col min="2" max="2" width="27.88671875" style="56" customWidth="1"/>
    <col min="3" max="3" width="20" customWidth="1"/>
    <col min="4" max="4" width="10.88671875" customWidth="1"/>
    <col min="5" max="5" width="13.21875" customWidth="1"/>
    <col min="7" max="7" width="10" customWidth="1"/>
  </cols>
  <sheetData>
    <row r="1" spans="1:7" x14ac:dyDescent="0.3">
      <c r="A1" s="10" t="s">
        <v>67</v>
      </c>
      <c r="B1" s="23" t="s">
        <v>606</v>
      </c>
      <c r="C1" s="23" t="s">
        <v>609</v>
      </c>
      <c r="D1" s="23" t="s">
        <v>611</v>
      </c>
      <c r="E1" s="23" t="s">
        <v>612</v>
      </c>
      <c r="F1" s="23" t="s">
        <v>613</v>
      </c>
      <c r="G1" s="23" t="s">
        <v>579</v>
      </c>
    </row>
    <row r="2" spans="1:7" x14ac:dyDescent="0.3">
      <c r="A2" s="11" t="s">
        <v>0</v>
      </c>
      <c r="B2" s="55">
        <v>5.7780613660487798</v>
      </c>
      <c r="C2" s="11">
        <v>44.2</v>
      </c>
      <c r="D2" s="27">
        <f>B2/$B$62</f>
        <v>0.84772520630437764</v>
      </c>
      <c r="E2" s="27">
        <f>C2/$C$62</f>
        <v>0.52122641509433965</v>
      </c>
      <c r="F2" s="27">
        <f>(0.5*D2)+(0.5*E2)</f>
        <v>0.6844758106993587</v>
      </c>
      <c r="G2" s="26">
        <f>(F2-$F$63)/($F$62-$F$63)</f>
        <v>0.47091918495392349</v>
      </c>
    </row>
    <row r="3" spans="1:7" x14ac:dyDescent="0.3">
      <c r="A3" s="11" t="s">
        <v>1</v>
      </c>
      <c r="B3" s="55">
        <v>6.1401322284455713</v>
      </c>
      <c r="C3" s="11">
        <v>62.4</v>
      </c>
      <c r="D3" s="27">
        <f t="shared" ref="D3:D61" si="0">B3/$B$62</f>
        <v>0.9008462406924248</v>
      </c>
      <c r="E3" s="27">
        <f t="shared" ref="E3:E61" si="1">C3/$C$62</f>
        <v>0.73584905660377364</v>
      </c>
      <c r="F3" s="27">
        <f t="shared" ref="F3:F61" si="2">(0.5*D3)+(0.5*E3)</f>
        <v>0.81834764864809917</v>
      </c>
      <c r="G3" s="26">
        <f t="shared" ref="G3:G61" si="3">(F3-$F$63)/($F$62-$F$63)</f>
        <v>0.73085962004916316</v>
      </c>
    </row>
    <row r="4" spans="1:7" x14ac:dyDescent="0.3">
      <c r="A4" s="11" t="s">
        <v>2</v>
      </c>
      <c r="B4" s="55">
        <v>5.3568032661932738</v>
      </c>
      <c r="C4" s="11">
        <v>50.8</v>
      </c>
      <c r="D4" s="27">
        <f t="shared" si="0"/>
        <v>0.78592054778937082</v>
      </c>
      <c r="E4" s="27">
        <f t="shared" si="1"/>
        <v>0.59905660377358494</v>
      </c>
      <c r="F4" s="27">
        <f t="shared" si="2"/>
        <v>0.69248857578147782</v>
      </c>
      <c r="G4" s="26">
        <f t="shared" si="3"/>
        <v>0.48647765993773234</v>
      </c>
    </row>
    <row r="5" spans="1:7" x14ac:dyDescent="0.3">
      <c r="A5" s="11" t="s">
        <v>3</v>
      </c>
      <c r="B5" s="55">
        <v>4.9577891126024438</v>
      </c>
      <c r="C5" s="11">
        <v>58.5</v>
      </c>
      <c r="D5" s="27">
        <f t="shared" si="0"/>
        <v>0.72737939804342022</v>
      </c>
      <c r="E5" s="27">
        <f t="shared" si="1"/>
        <v>0.68985849056603776</v>
      </c>
      <c r="F5" s="27">
        <f t="shared" si="2"/>
        <v>0.70861894430472905</v>
      </c>
      <c r="G5" s="26">
        <f t="shared" si="3"/>
        <v>0.51779817571182629</v>
      </c>
    </row>
    <row r="6" spans="1:7" x14ac:dyDescent="0.3">
      <c r="A6" s="11" t="s">
        <v>4</v>
      </c>
      <c r="B6" s="55">
        <v>5.7897409645721165</v>
      </c>
      <c r="C6" s="11">
        <v>52.7</v>
      </c>
      <c r="D6" s="27">
        <f t="shared" si="0"/>
        <v>0.84943877240215671</v>
      </c>
      <c r="E6" s="27">
        <f t="shared" si="1"/>
        <v>0.62146226415094341</v>
      </c>
      <c r="F6" s="27">
        <f t="shared" si="2"/>
        <v>0.73545051827655006</v>
      </c>
      <c r="G6" s="26">
        <f t="shared" si="3"/>
        <v>0.56989734099852274</v>
      </c>
    </row>
    <row r="7" spans="1:7" x14ac:dyDescent="0.3">
      <c r="A7" s="11" t="s">
        <v>5</v>
      </c>
      <c r="B7" s="55">
        <v>2.7736138805067241</v>
      </c>
      <c r="C7" s="11">
        <v>47.1</v>
      </c>
      <c r="D7" s="27">
        <f t="shared" si="0"/>
        <v>0.40692928823445768</v>
      </c>
      <c r="E7" s="27">
        <f t="shared" si="1"/>
        <v>0.55542452830188682</v>
      </c>
      <c r="F7" s="27">
        <f t="shared" si="2"/>
        <v>0.48117690826817228</v>
      </c>
      <c r="G7" s="26">
        <f t="shared" si="3"/>
        <v>7.6171447400773182E-2</v>
      </c>
    </row>
    <row r="8" spans="1:7" x14ac:dyDescent="0.3">
      <c r="A8" s="11" t="s">
        <v>6</v>
      </c>
      <c r="B8" s="55">
        <v>5.5686974435827015</v>
      </c>
      <c r="C8" s="11">
        <v>51.7</v>
      </c>
      <c r="D8" s="27">
        <f t="shared" si="0"/>
        <v>0.81700848955087968</v>
      </c>
      <c r="E8" s="27">
        <f t="shared" si="1"/>
        <v>0.60966981132075482</v>
      </c>
      <c r="F8" s="27">
        <f t="shared" si="2"/>
        <v>0.7133391504358173</v>
      </c>
      <c r="G8" s="26">
        <f t="shared" si="3"/>
        <v>0.52696345239925113</v>
      </c>
    </row>
    <row r="9" spans="1:7" x14ac:dyDescent="0.3">
      <c r="A9" s="11" t="s">
        <v>7</v>
      </c>
      <c r="B9" s="55">
        <v>5.9830916423234015</v>
      </c>
      <c r="C9" s="11">
        <v>77.2</v>
      </c>
      <c r="D9" s="27">
        <f t="shared" si="0"/>
        <v>0.87780611445721091</v>
      </c>
      <c r="E9" s="27">
        <f t="shared" si="1"/>
        <v>0.91037735849056611</v>
      </c>
      <c r="F9" s="27">
        <f t="shared" si="2"/>
        <v>0.89409173647388851</v>
      </c>
      <c r="G9" s="26">
        <f t="shared" si="3"/>
        <v>0.87793275691657979</v>
      </c>
    </row>
    <row r="10" spans="1:7" x14ac:dyDescent="0.3">
      <c r="A10" s="11" t="s">
        <v>8</v>
      </c>
      <c r="B10" s="55">
        <v>5.2957578975555188</v>
      </c>
      <c r="C10" s="11">
        <v>53.8</v>
      </c>
      <c r="D10" s="27">
        <f t="shared" si="0"/>
        <v>0.77696430893278079</v>
      </c>
      <c r="E10" s="27">
        <f t="shared" si="1"/>
        <v>0.63443396226415094</v>
      </c>
      <c r="F10" s="27">
        <f t="shared" si="2"/>
        <v>0.70569913559846587</v>
      </c>
      <c r="G10" s="26">
        <f t="shared" si="3"/>
        <v>0.51212875070705777</v>
      </c>
    </row>
    <row r="11" spans="1:7" x14ac:dyDescent="0.3">
      <c r="A11" s="11" t="s">
        <v>9</v>
      </c>
      <c r="B11" s="55">
        <v>4.8675755758865069</v>
      </c>
      <c r="C11" s="11">
        <v>63.4</v>
      </c>
      <c r="D11" s="27">
        <f t="shared" si="0"/>
        <v>0.71414376688980685</v>
      </c>
      <c r="E11" s="27">
        <f t="shared" si="1"/>
        <v>0.74764150943396224</v>
      </c>
      <c r="F11" s="27">
        <f t="shared" si="2"/>
        <v>0.73089263816188454</v>
      </c>
      <c r="G11" s="26">
        <f t="shared" si="3"/>
        <v>0.56104725454066928</v>
      </c>
    </row>
    <row r="12" spans="1:7" x14ac:dyDescent="0.3">
      <c r="A12" s="11" t="s">
        <v>10</v>
      </c>
      <c r="B12" s="55">
        <v>6.0169272905046753</v>
      </c>
      <c r="C12" s="11">
        <v>71.5</v>
      </c>
      <c r="D12" s="27">
        <f t="shared" si="0"/>
        <v>0.88277029362004433</v>
      </c>
      <c r="E12" s="27">
        <f t="shared" si="1"/>
        <v>0.84316037735849059</v>
      </c>
      <c r="F12" s="27">
        <f t="shared" si="2"/>
        <v>0.86296533548926746</v>
      </c>
      <c r="G12" s="26">
        <f t="shared" si="3"/>
        <v>0.81749427830250909</v>
      </c>
    </row>
    <row r="13" spans="1:7" x14ac:dyDescent="0.3">
      <c r="A13" s="11" t="s">
        <v>11</v>
      </c>
      <c r="B13" s="55">
        <v>6.5481247116768415</v>
      </c>
      <c r="C13" s="11">
        <v>67</v>
      </c>
      <c r="D13" s="27">
        <f t="shared" si="0"/>
        <v>0.96070464130584332</v>
      </c>
      <c r="E13" s="27">
        <f t="shared" si="1"/>
        <v>0.79009433962264153</v>
      </c>
      <c r="F13" s="27">
        <f t="shared" si="2"/>
        <v>0.87539949046424237</v>
      </c>
      <c r="G13" s="26">
        <f t="shared" si="3"/>
        <v>0.84163781516404235</v>
      </c>
    </row>
    <row r="14" spans="1:7" x14ac:dyDescent="0.3">
      <c r="A14" s="11" t="s">
        <v>12</v>
      </c>
      <c r="B14" s="55">
        <v>5.8782089169502587</v>
      </c>
      <c r="C14" s="11">
        <v>52</v>
      </c>
      <c r="D14" s="27">
        <f t="shared" si="0"/>
        <v>0.86241830107621287</v>
      </c>
      <c r="E14" s="27">
        <f t="shared" si="1"/>
        <v>0.6132075471698113</v>
      </c>
      <c r="F14" s="27">
        <f t="shared" si="2"/>
        <v>0.73781292412301203</v>
      </c>
      <c r="G14" s="26">
        <f t="shared" si="3"/>
        <v>0.57448445067752774</v>
      </c>
    </row>
    <row r="15" spans="1:7" x14ac:dyDescent="0.3">
      <c r="A15" s="11" t="s">
        <v>13</v>
      </c>
      <c r="B15" s="55">
        <v>6.5161591854737493</v>
      </c>
      <c r="C15" s="11">
        <v>76.900000000000006</v>
      </c>
      <c r="D15" s="27">
        <f t="shared" si="0"/>
        <v>0.95601483609637128</v>
      </c>
      <c r="E15" s="27">
        <f t="shared" si="1"/>
        <v>0.90683962264150952</v>
      </c>
      <c r="F15" s="27">
        <f t="shared" si="2"/>
        <v>0.9314272293689404</v>
      </c>
      <c r="G15" s="26">
        <f t="shared" si="3"/>
        <v>0.95042749827772455</v>
      </c>
    </row>
    <row r="16" spans="1:7" x14ac:dyDescent="0.3">
      <c r="A16" s="11" t="s">
        <v>14</v>
      </c>
      <c r="B16" s="55">
        <v>6.1795453814631838</v>
      </c>
      <c r="C16" s="11">
        <v>74.5</v>
      </c>
      <c r="D16" s="27">
        <f t="shared" si="0"/>
        <v>0.90662872051676235</v>
      </c>
      <c r="E16" s="27">
        <f t="shared" si="1"/>
        <v>0.87853773584905659</v>
      </c>
      <c r="F16" s="27">
        <f t="shared" si="2"/>
        <v>0.89258322818290947</v>
      </c>
      <c r="G16" s="26">
        <f t="shared" si="3"/>
        <v>0.87500366960807496</v>
      </c>
    </row>
    <row r="17" spans="1:7" x14ac:dyDescent="0.3">
      <c r="A17" s="11" t="s">
        <v>15</v>
      </c>
      <c r="B17" s="55">
        <v>5.0621300976175441</v>
      </c>
      <c r="C17" s="11">
        <v>55.8</v>
      </c>
      <c r="D17" s="27">
        <f t="shared" si="0"/>
        <v>0.74268773027534574</v>
      </c>
      <c r="E17" s="27">
        <f t="shared" si="1"/>
        <v>0.65801886792452824</v>
      </c>
      <c r="F17" s="27">
        <f t="shared" si="2"/>
        <v>0.70035329909993704</v>
      </c>
      <c r="G17" s="26">
        <f t="shared" si="3"/>
        <v>0.50174868058426114</v>
      </c>
    </row>
    <row r="18" spans="1:7" x14ac:dyDescent="0.3">
      <c r="A18" s="11" t="s">
        <v>16</v>
      </c>
      <c r="B18" s="55">
        <v>5.9693896210542405</v>
      </c>
      <c r="C18" s="11">
        <v>54.4</v>
      </c>
      <c r="D18" s="27">
        <f t="shared" si="0"/>
        <v>0.87579582967978742</v>
      </c>
      <c r="E18" s="27">
        <f t="shared" si="1"/>
        <v>0.64150943396226412</v>
      </c>
      <c r="F18" s="27">
        <f t="shared" si="2"/>
        <v>0.75865263182102582</v>
      </c>
      <c r="G18" s="26">
        <f t="shared" si="3"/>
        <v>0.6149491426492143</v>
      </c>
    </row>
    <row r="19" spans="1:7" x14ac:dyDescent="0.3">
      <c r="A19" s="11" t="s">
        <v>17</v>
      </c>
      <c r="B19" s="55">
        <v>6.1937600000000002</v>
      </c>
      <c r="C19" s="11">
        <v>59.9</v>
      </c>
      <c r="D19" s="27">
        <f t="shared" si="0"/>
        <v>0.90871421073022152</v>
      </c>
      <c r="E19" s="27">
        <f t="shared" si="1"/>
        <v>0.70636792452830188</v>
      </c>
      <c r="F19" s="27">
        <f t="shared" si="2"/>
        <v>0.8075410676292617</v>
      </c>
      <c r="G19" s="26">
        <f t="shared" si="3"/>
        <v>0.70987636162102263</v>
      </c>
    </row>
    <row r="20" spans="1:7" x14ac:dyDescent="0.3">
      <c r="A20" s="11" t="s">
        <v>18</v>
      </c>
      <c r="B20" s="55">
        <v>5.7483508616716836</v>
      </c>
      <c r="C20" s="11">
        <v>53</v>
      </c>
      <c r="D20" s="27">
        <f t="shared" si="0"/>
        <v>0.84336624542513305</v>
      </c>
      <c r="E20" s="27">
        <f t="shared" si="1"/>
        <v>0.625</v>
      </c>
      <c r="F20" s="27">
        <f t="shared" si="2"/>
        <v>0.73418312271256658</v>
      </c>
      <c r="G20" s="26">
        <f t="shared" si="3"/>
        <v>0.56743642495084889</v>
      </c>
    </row>
    <row r="21" spans="1:7" x14ac:dyDescent="0.3">
      <c r="A21" s="11" t="s">
        <v>19</v>
      </c>
      <c r="B21" s="55">
        <v>5.3744819186483523</v>
      </c>
      <c r="C21" s="11">
        <v>53.6</v>
      </c>
      <c r="D21" s="27">
        <f t="shared" si="0"/>
        <v>0.78851426190042617</v>
      </c>
      <c r="E21" s="27">
        <f t="shared" si="1"/>
        <v>0.63207547169811329</v>
      </c>
      <c r="F21" s="27">
        <f t="shared" si="2"/>
        <v>0.71029486679926968</v>
      </c>
      <c r="G21" s="26">
        <f t="shared" si="3"/>
        <v>0.52105233303940113</v>
      </c>
    </row>
    <row r="22" spans="1:7" x14ac:dyDescent="0.3">
      <c r="A22" s="11" t="s">
        <v>20</v>
      </c>
      <c r="B22" s="55">
        <v>5.7743203390687681</v>
      </c>
      <c r="C22" s="11">
        <v>53.6</v>
      </c>
      <c r="D22" s="27">
        <f t="shared" si="0"/>
        <v>0.84717634351675564</v>
      </c>
      <c r="E22" s="27">
        <f t="shared" si="1"/>
        <v>0.63207547169811329</v>
      </c>
      <c r="F22" s="27">
        <f t="shared" si="2"/>
        <v>0.73962590760743452</v>
      </c>
      <c r="G22" s="26">
        <f t="shared" si="3"/>
        <v>0.57800474085193854</v>
      </c>
    </row>
    <row r="23" spans="1:7" x14ac:dyDescent="0.3">
      <c r="A23" s="11" t="s">
        <v>21</v>
      </c>
      <c r="B23" s="55">
        <v>6.2641033355421012</v>
      </c>
      <c r="C23" s="11">
        <v>66.5</v>
      </c>
      <c r="D23" s="27">
        <f t="shared" si="0"/>
        <v>0.91903459586578884</v>
      </c>
      <c r="E23" s="27">
        <f t="shared" si="1"/>
        <v>0.78419811320754718</v>
      </c>
      <c r="F23" s="27">
        <f t="shared" si="2"/>
        <v>0.85161635453666795</v>
      </c>
      <c r="G23" s="26">
        <f t="shared" si="3"/>
        <v>0.79545783589678154</v>
      </c>
    </row>
    <row r="24" spans="1:7" x14ac:dyDescent="0.3">
      <c r="A24" s="11" t="s">
        <v>22</v>
      </c>
      <c r="B24" s="55">
        <v>6.8159603171857954</v>
      </c>
      <c r="C24" s="11">
        <v>77.5</v>
      </c>
      <c r="D24" s="27">
        <f t="shared" si="0"/>
        <v>1</v>
      </c>
      <c r="E24" s="27">
        <f t="shared" si="1"/>
        <v>0.9139150943396227</v>
      </c>
      <c r="F24" s="27">
        <f t="shared" si="2"/>
        <v>0.9569575471698113</v>
      </c>
      <c r="G24" s="26">
        <f t="shared" si="3"/>
        <v>1</v>
      </c>
    </row>
    <row r="25" spans="1:7" x14ac:dyDescent="0.3">
      <c r="A25" s="11" t="s">
        <v>23</v>
      </c>
      <c r="B25" s="55">
        <v>5.9775212543480771</v>
      </c>
      <c r="C25" s="11">
        <v>55.9</v>
      </c>
      <c r="D25" s="27">
        <f t="shared" si="0"/>
        <v>0.87698885794219283</v>
      </c>
      <c r="E25" s="27">
        <f t="shared" si="1"/>
        <v>0.65919811320754718</v>
      </c>
      <c r="F25" s="27">
        <f t="shared" si="2"/>
        <v>0.76809348557487001</v>
      </c>
      <c r="G25" s="26">
        <f t="shared" si="3"/>
        <v>0.6332805532733401</v>
      </c>
    </row>
    <row r="26" spans="1:7" x14ac:dyDescent="0.3">
      <c r="A26" s="11" t="s">
        <v>24</v>
      </c>
      <c r="B26" s="55">
        <v>5.6872815235570773</v>
      </c>
      <c r="C26" s="11">
        <v>54.8</v>
      </c>
      <c r="D26" s="27">
        <f t="shared" si="0"/>
        <v>0.83440648989946997</v>
      </c>
      <c r="E26" s="27">
        <f t="shared" si="1"/>
        <v>0.64622641509433965</v>
      </c>
      <c r="F26" s="27">
        <f t="shared" si="2"/>
        <v>0.74031645249690481</v>
      </c>
      <c r="G26" s="26">
        <f t="shared" si="3"/>
        <v>0.57934557953595234</v>
      </c>
    </row>
    <row r="27" spans="1:7" x14ac:dyDescent="0.3">
      <c r="A27" s="11" t="s">
        <v>25</v>
      </c>
      <c r="B27" s="55">
        <v>5.1707876173668526</v>
      </c>
      <c r="C27" s="11">
        <v>55.1</v>
      </c>
      <c r="D27" s="27">
        <f t="shared" si="0"/>
        <v>0.75862936060956865</v>
      </c>
      <c r="E27" s="27">
        <f t="shared" si="1"/>
        <v>0.64976415094339623</v>
      </c>
      <c r="F27" s="27">
        <f t="shared" si="2"/>
        <v>0.70419675577648244</v>
      </c>
      <c r="G27" s="26">
        <f t="shared" si="3"/>
        <v>0.50921156311489058</v>
      </c>
    </row>
    <row r="28" spans="1:7" x14ac:dyDescent="0.3">
      <c r="A28" s="11" t="s">
        <v>26</v>
      </c>
      <c r="B28" s="55">
        <v>3.974987664373637</v>
      </c>
      <c r="C28" s="11">
        <v>25.5</v>
      </c>
      <c r="D28" s="27">
        <f t="shared" si="0"/>
        <v>0.58318820524102577</v>
      </c>
      <c r="E28" s="27">
        <f t="shared" si="1"/>
        <v>0.30070754716981135</v>
      </c>
      <c r="F28" s="27">
        <f t="shared" si="2"/>
        <v>0.44194787620541853</v>
      </c>
      <c r="G28" s="26">
        <f t="shared" si="3"/>
        <v>0</v>
      </c>
    </row>
    <row r="29" spans="1:7" x14ac:dyDescent="0.3">
      <c r="A29" s="11" t="s">
        <v>27</v>
      </c>
      <c r="B29" s="55">
        <v>6.1399770620755687</v>
      </c>
      <c r="C29" s="11">
        <v>52.1</v>
      </c>
      <c r="D29" s="27">
        <f t="shared" si="0"/>
        <v>0.90082347554081277</v>
      </c>
      <c r="E29" s="27">
        <f t="shared" si="1"/>
        <v>0.61438679245283023</v>
      </c>
      <c r="F29" s="27">
        <f t="shared" si="2"/>
        <v>0.7576051339968215</v>
      </c>
      <c r="G29" s="26">
        <f t="shared" si="3"/>
        <v>0.61291520448598946</v>
      </c>
    </row>
    <row r="30" spans="1:7" x14ac:dyDescent="0.3">
      <c r="A30" s="11" t="s">
        <v>28</v>
      </c>
      <c r="B30" s="55">
        <v>5.7338808055048984</v>
      </c>
      <c r="C30" s="11">
        <v>64.5</v>
      </c>
      <c r="D30" s="27">
        <f t="shared" si="0"/>
        <v>0.8412432788153803</v>
      </c>
      <c r="E30" s="27">
        <f t="shared" si="1"/>
        <v>0.76061320754716988</v>
      </c>
      <c r="F30" s="27">
        <f t="shared" si="2"/>
        <v>0.80092824318127509</v>
      </c>
      <c r="G30" s="26">
        <f t="shared" si="3"/>
        <v>0.69703616692020542</v>
      </c>
    </row>
    <row r="31" spans="1:7" x14ac:dyDescent="0.3">
      <c r="A31" s="11" t="s">
        <v>29</v>
      </c>
      <c r="B31" s="55">
        <v>4.8983366306515368</v>
      </c>
      <c r="C31" s="11">
        <v>40</v>
      </c>
      <c r="D31" s="27">
        <f t="shared" si="0"/>
        <v>0.71865685871158125</v>
      </c>
      <c r="E31" s="27">
        <f t="shared" si="1"/>
        <v>0.47169811320754718</v>
      </c>
      <c r="F31" s="27">
        <f t="shared" si="2"/>
        <v>0.59517748595956421</v>
      </c>
      <c r="G31" s="26">
        <f t="shared" si="3"/>
        <v>0.29752763567956342</v>
      </c>
    </row>
    <row r="32" spans="1:7" x14ac:dyDescent="0.3">
      <c r="A32" s="11" t="s">
        <v>30</v>
      </c>
      <c r="B32" s="55">
        <v>5.9701366593596497</v>
      </c>
      <c r="C32" s="11">
        <v>52.5</v>
      </c>
      <c r="D32" s="27">
        <f t="shared" si="0"/>
        <v>0.87590543100823492</v>
      </c>
      <c r="E32" s="27">
        <f t="shared" si="1"/>
        <v>0.61910377358490565</v>
      </c>
      <c r="F32" s="27">
        <f t="shared" si="2"/>
        <v>0.74750460229657034</v>
      </c>
      <c r="G32" s="26">
        <f t="shared" si="3"/>
        <v>0.5933028898641356</v>
      </c>
    </row>
    <row r="33" spans="1:7" x14ac:dyDescent="0.3">
      <c r="A33" s="11" t="s">
        <v>31</v>
      </c>
      <c r="B33" s="55">
        <v>6.1660617329891103</v>
      </c>
      <c r="C33" s="11">
        <v>73.8</v>
      </c>
      <c r="D33" s="27">
        <f t="shared" si="0"/>
        <v>0.90465047418805711</v>
      </c>
      <c r="E33" s="27">
        <f t="shared" si="1"/>
        <v>0.87028301886792447</v>
      </c>
      <c r="F33" s="27">
        <f t="shared" si="2"/>
        <v>0.88746674652799085</v>
      </c>
      <c r="G33" s="26">
        <f t="shared" si="3"/>
        <v>0.86506894033330695</v>
      </c>
    </row>
    <row r="34" spans="1:7" x14ac:dyDescent="0.3">
      <c r="A34" s="11" t="s">
        <v>32</v>
      </c>
      <c r="B34" s="55">
        <v>4.3246910834942982</v>
      </c>
      <c r="C34" s="11">
        <v>36</v>
      </c>
      <c r="D34" s="27">
        <f t="shared" si="0"/>
        <v>0.63449475675349831</v>
      </c>
      <c r="E34" s="27">
        <f t="shared" si="1"/>
        <v>0.42452830188679247</v>
      </c>
      <c r="F34" s="27">
        <f t="shared" si="2"/>
        <v>0.52951152932014534</v>
      </c>
      <c r="G34" s="26">
        <f t="shared" si="3"/>
        <v>0.17002331810732321</v>
      </c>
    </row>
    <row r="35" spans="1:7" x14ac:dyDescent="0.3">
      <c r="A35" s="11" t="s">
        <v>33</v>
      </c>
      <c r="B35" s="55">
        <v>3.486261770620918</v>
      </c>
      <c r="C35" s="11">
        <v>38.700000000000003</v>
      </c>
      <c r="D35" s="27">
        <f t="shared" si="0"/>
        <v>0.5114850451565337</v>
      </c>
      <c r="E35" s="27">
        <f t="shared" si="1"/>
        <v>0.45636792452830194</v>
      </c>
      <c r="F35" s="27">
        <f t="shared" si="2"/>
        <v>0.48392648484241785</v>
      </c>
      <c r="G35" s="26">
        <f t="shared" si="3"/>
        <v>8.1510330783480911E-2</v>
      </c>
    </row>
    <row r="36" spans="1:7" x14ac:dyDescent="0.3">
      <c r="A36" s="11" t="s">
        <v>34</v>
      </c>
      <c r="B36" s="55">
        <v>6.1360000000000001</v>
      </c>
      <c r="C36" s="11">
        <v>50.3</v>
      </c>
      <c r="D36" s="27">
        <f t="shared" si="0"/>
        <v>0.90023998298943442</v>
      </c>
      <c r="E36" s="27">
        <f t="shared" si="1"/>
        <v>0.59316037735849059</v>
      </c>
      <c r="F36" s="27">
        <f t="shared" si="2"/>
        <v>0.74670018017396256</v>
      </c>
      <c r="G36" s="26">
        <f t="shared" si="3"/>
        <v>0.59174093449133358</v>
      </c>
    </row>
    <row r="37" spans="1:7" x14ac:dyDescent="0.3">
      <c r="A37" s="11" t="s">
        <v>35</v>
      </c>
      <c r="B37" s="55">
        <v>5.0150928577518101</v>
      </c>
      <c r="C37" s="11">
        <v>36.799999999999997</v>
      </c>
      <c r="D37" s="27">
        <f t="shared" si="0"/>
        <v>0.73578668659597835</v>
      </c>
      <c r="E37" s="27">
        <f t="shared" si="1"/>
        <v>0.43396226415094336</v>
      </c>
      <c r="F37" s="27">
        <f t="shared" si="2"/>
        <v>0.58487447537346082</v>
      </c>
      <c r="G37" s="26">
        <f t="shared" si="3"/>
        <v>0.27752216555545828</v>
      </c>
    </row>
    <row r="38" spans="1:7" x14ac:dyDescent="0.3">
      <c r="A38" s="11" t="s">
        <v>36</v>
      </c>
      <c r="B38" s="55">
        <v>6.1074324433643783</v>
      </c>
      <c r="C38" s="11">
        <v>51</v>
      </c>
      <c r="D38" s="27">
        <f t="shared" si="0"/>
        <v>0.89604870908139955</v>
      </c>
      <c r="E38" s="27">
        <f t="shared" si="1"/>
        <v>0.6014150943396227</v>
      </c>
      <c r="F38" s="27">
        <f t="shared" si="2"/>
        <v>0.74873190171051118</v>
      </c>
      <c r="G38" s="26">
        <f t="shared" si="3"/>
        <v>0.59568595077179309</v>
      </c>
    </row>
    <row r="39" spans="1:7" x14ac:dyDescent="0.3">
      <c r="A39" s="11" t="s">
        <v>37</v>
      </c>
      <c r="B39" s="55">
        <v>5.2704023772662421</v>
      </c>
      <c r="C39" s="11">
        <v>56.5</v>
      </c>
      <c r="D39" s="27">
        <f t="shared" si="0"/>
        <v>0.77324428723233962</v>
      </c>
      <c r="E39" s="27">
        <f t="shared" si="1"/>
        <v>0.66627358490566035</v>
      </c>
      <c r="F39" s="27">
        <f t="shared" si="2"/>
        <v>0.71975893606899999</v>
      </c>
      <c r="G39" s="26">
        <f t="shared" si="3"/>
        <v>0.53942882148865323</v>
      </c>
    </row>
    <row r="40" spans="1:7" x14ac:dyDescent="0.3">
      <c r="A40" s="11" t="s">
        <v>38</v>
      </c>
      <c r="B40" s="55">
        <f t="shared" ref="B40" si="4">B4*(87/95)</f>
        <v>4.9057040437769981</v>
      </c>
      <c r="C40" s="11">
        <v>38.6</v>
      </c>
      <c r="D40" s="27">
        <f t="shared" si="0"/>
        <v>0.7197377648176343</v>
      </c>
      <c r="E40" s="27">
        <f t="shared" si="1"/>
        <v>0.45518867924528306</v>
      </c>
      <c r="F40" s="27">
        <f t="shared" si="2"/>
        <v>0.58746322203145862</v>
      </c>
      <c r="G40" s="26">
        <f t="shared" si="3"/>
        <v>0.28254876370292642</v>
      </c>
    </row>
    <row r="41" spans="1:7" x14ac:dyDescent="0.3">
      <c r="A41" s="11" t="s">
        <v>39</v>
      </c>
      <c r="B41" s="55">
        <v>4.5154384530059719</v>
      </c>
      <c r="C41" s="11">
        <v>39.299999999999997</v>
      </c>
      <c r="D41" s="27">
        <f t="shared" si="0"/>
        <v>0.66248015582202313</v>
      </c>
      <c r="E41" s="27">
        <f t="shared" si="1"/>
        <v>0.46344339622641506</v>
      </c>
      <c r="F41" s="27">
        <f t="shared" si="2"/>
        <v>0.56296177602421915</v>
      </c>
      <c r="G41" s="26">
        <f t="shared" si="3"/>
        <v>0.23497403377337236</v>
      </c>
    </row>
    <row r="42" spans="1:7" x14ac:dyDescent="0.3">
      <c r="A42" s="11" t="s">
        <v>40</v>
      </c>
      <c r="B42" s="55">
        <v>6.1683199473959238</v>
      </c>
      <c r="C42" s="11">
        <v>73.8</v>
      </c>
      <c r="D42" s="27">
        <f t="shared" si="0"/>
        <v>0.90498178691608455</v>
      </c>
      <c r="E42" s="27">
        <f t="shared" si="1"/>
        <v>0.87028301886792447</v>
      </c>
      <c r="F42" s="27">
        <f t="shared" si="2"/>
        <v>0.88763240289200451</v>
      </c>
      <c r="G42" s="26">
        <f t="shared" si="3"/>
        <v>0.86539059713579658</v>
      </c>
    </row>
    <row r="43" spans="1:7" x14ac:dyDescent="0.3">
      <c r="A43" s="11" t="s">
        <v>41</v>
      </c>
      <c r="B43" s="55">
        <f t="shared" ref="B43" si="5">AVERAGE(B2,B3)</f>
        <v>5.9590967972471756</v>
      </c>
      <c r="C43" s="11">
        <v>84.8</v>
      </c>
      <c r="D43" s="27">
        <f t="shared" si="0"/>
        <v>0.87428572349840128</v>
      </c>
      <c r="E43" s="27">
        <f t="shared" si="1"/>
        <v>1</v>
      </c>
      <c r="F43" s="27">
        <f t="shared" si="2"/>
        <v>0.93714286174920058</v>
      </c>
      <c r="G43" s="26">
        <f t="shared" si="3"/>
        <v>0.96152560517260521</v>
      </c>
    </row>
    <row r="44" spans="1:7" x14ac:dyDescent="0.3">
      <c r="A44" s="11" t="s">
        <v>42</v>
      </c>
      <c r="B44" s="55">
        <v>5.7915208284278581</v>
      </c>
      <c r="C44" s="11">
        <v>66.7</v>
      </c>
      <c r="D44" s="27">
        <f t="shared" si="0"/>
        <v>0.84969990418299379</v>
      </c>
      <c r="E44" s="27">
        <f t="shared" si="1"/>
        <v>0.78655660377358494</v>
      </c>
      <c r="F44" s="27">
        <f t="shared" si="2"/>
        <v>0.81812825397828937</v>
      </c>
      <c r="G44" s="26">
        <f t="shared" si="3"/>
        <v>0.73043361898126291</v>
      </c>
    </row>
    <row r="45" spans="1:7" x14ac:dyDescent="0.3">
      <c r="A45" s="11" t="s">
        <v>43</v>
      </c>
      <c r="B45" s="55">
        <v>5.2070539738061496</v>
      </c>
      <c r="C45" s="11">
        <v>57.6</v>
      </c>
      <c r="D45" s="27">
        <f t="shared" si="0"/>
        <v>0.76395015984424941</v>
      </c>
      <c r="E45" s="27">
        <f t="shared" si="1"/>
        <v>0.679245283018868</v>
      </c>
      <c r="F45" s="27">
        <f t="shared" si="2"/>
        <v>0.72159772143155876</v>
      </c>
      <c r="G45" s="26">
        <f t="shared" si="3"/>
        <v>0.54299921145650665</v>
      </c>
    </row>
    <row r="46" spans="1:7" x14ac:dyDescent="0.3">
      <c r="A46" s="11" t="s">
        <v>44</v>
      </c>
      <c r="B46" s="55">
        <v>5.6178274768674701</v>
      </c>
      <c r="C46" s="11">
        <v>51.2</v>
      </c>
      <c r="D46" s="27">
        <f t="shared" si="0"/>
        <v>0.82421657630585854</v>
      </c>
      <c r="E46" s="27">
        <f t="shared" si="1"/>
        <v>0.60377358490566047</v>
      </c>
      <c r="F46" s="27">
        <f t="shared" si="2"/>
        <v>0.71399508060575956</v>
      </c>
      <c r="G46" s="26">
        <f t="shared" si="3"/>
        <v>0.52823707929777908</v>
      </c>
    </row>
    <row r="47" spans="1:7" x14ac:dyDescent="0.3">
      <c r="A47" s="11" t="s">
        <v>45</v>
      </c>
      <c r="B47" s="55">
        <v>6.3513347654400309</v>
      </c>
      <c r="C47" s="11">
        <v>73.7</v>
      </c>
      <c r="D47" s="27">
        <f t="shared" si="0"/>
        <v>0.93183270880051117</v>
      </c>
      <c r="E47" s="27">
        <f t="shared" si="1"/>
        <v>0.86910377358490576</v>
      </c>
      <c r="F47" s="27">
        <f t="shared" si="2"/>
        <v>0.90046824119270852</v>
      </c>
      <c r="G47" s="26">
        <f t="shared" si="3"/>
        <v>0.89031408697370196</v>
      </c>
    </row>
    <row r="48" spans="1:7" x14ac:dyDescent="0.3">
      <c r="A48" s="11" t="s">
        <v>46</v>
      </c>
      <c r="B48" s="55">
        <v>5.1464810439183921</v>
      </c>
      <c r="C48" s="11">
        <v>43.6</v>
      </c>
      <c r="D48" s="27">
        <f t="shared" si="0"/>
        <v>0.75506323458809321</v>
      </c>
      <c r="E48" s="27">
        <f t="shared" si="1"/>
        <v>0.51415094339622647</v>
      </c>
      <c r="F48" s="27">
        <f t="shared" si="2"/>
        <v>0.63460708899215978</v>
      </c>
      <c r="G48" s="26">
        <f t="shared" si="3"/>
        <v>0.37408853396087294</v>
      </c>
    </row>
    <row r="49" spans="1:7" x14ac:dyDescent="0.3">
      <c r="A49" s="11" t="s">
        <v>47</v>
      </c>
      <c r="B49" s="55">
        <v>6.5591708822620918</v>
      </c>
      <c r="C49" s="11">
        <v>73.5</v>
      </c>
      <c r="D49" s="27">
        <f t="shared" si="0"/>
        <v>0.96232527435991178</v>
      </c>
      <c r="E49" s="27">
        <f t="shared" si="1"/>
        <v>0.866745283018868</v>
      </c>
      <c r="F49" s="27">
        <f t="shared" si="2"/>
        <v>0.91453527868938989</v>
      </c>
      <c r="G49" s="26">
        <f t="shared" si="3"/>
        <v>0.91762820996937267</v>
      </c>
    </row>
    <row r="50" spans="1:7" x14ac:dyDescent="0.3">
      <c r="A50" s="11" t="s">
        <v>48</v>
      </c>
      <c r="B50" s="55">
        <v>6.2891627029979604</v>
      </c>
      <c r="C50" s="11">
        <v>71</v>
      </c>
      <c r="D50" s="27">
        <f t="shared" si="0"/>
        <v>0.92271116766047401</v>
      </c>
      <c r="E50" s="27">
        <f t="shared" si="1"/>
        <v>0.83726415094339623</v>
      </c>
      <c r="F50" s="27">
        <f t="shared" si="2"/>
        <v>0.87998765930193512</v>
      </c>
      <c r="G50" s="26">
        <f t="shared" si="3"/>
        <v>0.85054671357191314</v>
      </c>
    </row>
    <row r="51" spans="1:7" x14ac:dyDescent="0.3">
      <c r="A51" s="11" t="s">
        <v>49</v>
      </c>
      <c r="B51" s="55">
        <v>6.0008675540967849</v>
      </c>
      <c r="C51" s="11">
        <v>58.7</v>
      </c>
      <c r="D51" s="27">
        <f t="shared" si="0"/>
        <v>0.88041409791752578</v>
      </c>
      <c r="E51" s="27">
        <f t="shared" si="1"/>
        <v>0.69221698113207553</v>
      </c>
      <c r="F51" s="27">
        <f t="shared" si="2"/>
        <v>0.78631553952480071</v>
      </c>
      <c r="G51" s="26">
        <f t="shared" si="3"/>
        <v>0.66866251787957476</v>
      </c>
    </row>
    <row r="52" spans="1:7" x14ac:dyDescent="0.3">
      <c r="A52" s="11" t="s">
        <v>50</v>
      </c>
      <c r="B52" s="55">
        <v>6.3521135512635372</v>
      </c>
      <c r="C52" s="11">
        <v>73.599999999999994</v>
      </c>
      <c r="D52" s="27">
        <f t="shared" si="0"/>
        <v>0.9319469679492246</v>
      </c>
      <c r="E52" s="27">
        <f t="shared" si="1"/>
        <v>0.86792452830188671</v>
      </c>
      <c r="F52" s="27">
        <f t="shared" si="2"/>
        <v>0.89993574812555566</v>
      </c>
      <c r="G52" s="26">
        <f t="shared" si="3"/>
        <v>0.88928013926907779</v>
      </c>
    </row>
    <row r="53" spans="1:7" x14ac:dyDescent="0.3">
      <c r="A53" s="11" t="s">
        <v>51</v>
      </c>
      <c r="B53" s="55">
        <v>5.1464810439183921</v>
      </c>
      <c r="C53" s="11">
        <v>47.6</v>
      </c>
      <c r="D53" s="27">
        <f t="shared" si="0"/>
        <v>0.75506323458809321</v>
      </c>
      <c r="E53" s="27">
        <f t="shared" si="1"/>
        <v>0.56132075471698117</v>
      </c>
      <c r="F53" s="27">
        <f t="shared" si="2"/>
        <v>0.65819199465253719</v>
      </c>
      <c r="G53" s="26">
        <f t="shared" si="3"/>
        <v>0.41988360731592855</v>
      </c>
    </row>
    <row r="54" spans="1:7" x14ac:dyDescent="0.3">
      <c r="A54" s="11" t="s">
        <v>52</v>
      </c>
      <c r="B54" s="55">
        <v>4.9661772999246079</v>
      </c>
      <c r="C54" s="11">
        <v>42.7</v>
      </c>
      <c r="D54" s="27">
        <f t="shared" si="0"/>
        <v>0.72861006649391202</v>
      </c>
      <c r="E54" s="27">
        <f t="shared" si="1"/>
        <v>0.5035377358490567</v>
      </c>
      <c r="F54" s="27">
        <f t="shared" si="2"/>
        <v>0.61607390117148442</v>
      </c>
      <c r="G54" s="26">
        <f t="shared" si="3"/>
        <v>0.33810243726103695</v>
      </c>
    </row>
    <row r="55" spans="1:7" x14ac:dyDescent="0.3">
      <c r="A55" s="11" t="s">
        <v>53</v>
      </c>
      <c r="B55" s="55">
        <v>6.503014136720628</v>
      </c>
      <c r="C55" s="11">
        <v>75.5</v>
      </c>
      <c r="D55" s="27">
        <f t="shared" si="0"/>
        <v>0.95408626724599566</v>
      </c>
      <c r="E55" s="27">
        <f t="shared" si="1"/>
        <v>0.89033018867924529</v>
      </c>
      <c r="F55" s="27">
        <f t="shared" si="2"/>
        <v>0.92220822796262047</v>
      </c>
      <c r="G55" s="26">
        <f t="shared" si="3"/>
        <v>0.93252686082162262</v>
      </c>
    </row>
    <row r="56" spans="1:7" x14ac:dyDescent="0.3">
      <c r="A56" s="11" t="s">
        <v>54</v>
      </c>
      <c r="B56" s="55">
        <v>4.7253261441626906</v>
      </c>
      <c r="C56" s="11">
        <v>33.1</v>
      </c>
      <c r="D56" s="27">
        <f t="shared" si="0"/>
        <v>0.69327371702095009</v>
      </c>
      <c r="E56" s="27">
        <f t="shared" si="1"/>
        <v>0.39033018867924529</v>
      </c>
      <c r="F56" s="27">
        <f t="shared" si="2"/>
        <v>0.54180195285009769</v>
      </c>
      <c r="G56" s="26">
        <f t="shared" si="3"/>
        <v>0.19388777002516322</v>
      </c>
    </row>
    <row r="57" spans="1:7" x14ac:dyDescent="0.3">
      <c r="A57" s="11" t="s">
        <v>55</v>
      </c>
      <c r="B57" s="55">
        <v>5.5461961518291316</v>
      </c>
      <c r="C57" s="11">
        <v>46.5</v>
      </c>
      <c r="D57" s="27">
        <f t="shared" si="0"/>
        <v>0.8137072244750202</v>
      </c>
      <c r="E57" s="27">
        <f t="shared" si="1"/>
        <v>0.54834905660377364</v>
      </c>
      <c r="F57" s="27">
        <f t="shared" si="2"/>
        <v>0.68102814053939698</v>
      </c>
      <c r="G57" s="26">
        <f t="shared" si="3"/>
        <v>0.46422480549983342</v>
      </c>
    </row>
    <row r="58" spans="1:7" x14ac:dyDescent="0.3">
      <c r="A58" s="11" t="s">
        <v>56</v>
      </c>
      <c r="B58" s="55">
        <f t="shared" ref="B58" si="6">B2*(73/89)</f>
        <v>4.7393087609164146</v>
      </c>
      <c r="C58" s="11">
        <f>C2</f>
        <v>44.2</v>
      </c>
      <c r="D58" s="27">
        <f t="shared" si="0"/>
        <v>0.69532516921595022</v>
      </c>
      <c r="E58" s="27">
        <f t="shared" si="1"/>
        <v>0.52122641509433965</v>
      </c>
      <c r="F58" s="27">
        <f t="shared" si="2"/>
        <v>0.60827579215514493</v>
      </c>
      <c r="G58" s="26">
        <f t="shared" si="3"/>
        <v>0.3229607623450359</v>
      </c>
    </row>
    <row r="59" spans="1:7" x14ac:dyDescent="0.3">
      <c r="A59" s="11" t="s">
        <v>57</v>
      </c>
      <c r="B59" s="55">
        <v>5.1464810439183921</v>
      </c>
      <c r="C59" s="11">
        <f>B70</f>
        <v>44.424999999999997</v>
      </c>
      <c r="D59" s="27">
        <f t="shared" si="0"/>
        <v>0.75506323458809321</v>
      </c>
      <c r="E59" s="27">
        <f t="shared" si="1"/>
        <v>0.523879716981132</v>
      </c>
      <c r="F59" s="27">
        <f t="shared" si="2"/>
        <v>0.63947147578461261</v>
      </c>
      <c r="G59" s="26">
        <f t="shared" si="3"/>
        <v>0.38353376784035315</v>
      </c>
    </row>
    <row r="60" spans="1:7" x14ac:dyDescent="0.3">
      <c r="A60" s="11" t="s">
        <v>58</v>
      </c>
      <c r="B60" s="55">
        <v>6.2312956719979953</v>
      </c>
      <c r="C60" s="75">
        <v>57</v>
      </c>
      <c r="D60" s="27">
        <f t="shared" si="0"/>
        <v>0.91422123692333945</v>
      </c>
      <c r="E60" s="27">
        <f t="shared" si="1"/>
        <v>0.67216981132075471</v>
      </c>
      <c r="F60" s="27">
        <f t="shared" si="2"/>
        <v>0.79319552412204708</v>
      </c>
      <c r="G60" s="26">
        <f t="shared" si="3"/>
        <v>0.68202146041042688</v>
      </c>
    </row>
    <row r="61" spans="1:7" x14ac:dyDescent="0.3">
      <c r="A61" s="11" t="s">
        <v>59</v>
      </c>
      <c r="B61" s="55">
        <v>6.2474887697713539</v>
      </c>
      <c r="C61" s="11">
        <v>75.7</v>
      </c>
      <c r="D61" s="27">
        <f t="shared" si="0"/>
        <v>0.91659699866780409</v>
      </c>
      <c r="E61" s="27">
        <f t="shared" si="1"/>
        <v>0.89268867924528306</v>
      </c>
      <c r="F61" s="27">
        <f t="shared" si="2"/>
        <v>0.90464283895654352</v>
      </c>
      <c r="G61" s="26">
        <f t="shared" si="3"/>
        <v>0.89841994983258333</v>
      </c>
    </row>
    <row r="62" spans="1:7" x14ac:dyDescent="0.3">
      <c r="A62" s="49" t="s">
        <v>502</v>
      </c>
      <c r="B62" s="74">
        <f t="shared" ref="B62" si="7">MAX(B2:B61)</f>
        <v>6.8159603171857954</v>
      </c>
      <c r="C62">
        <f>MAX(C2:C61)</f>
        <v>84.8</v>
      </c>
      <c r="F62" s="32">
        <f>MAX(F2:F61)</f>
        <v>0.9569575471698113</v>
      </c>
    </row>
    <row r="63" spans="1:7" x14ac:dyDescent="0.3">
      <c r="A63" s="49" t="s">
        <v>601</v>
      </c>
      <c r="F63" s="32">
        <f>MIN(F2:F61)</f>
        <v>0.44194787620541853</v>
      </c>
    </row>
    <row r="65" spans="1:2" x14ac:dyDescent="0.3">
      <c r="A65" s="10" t="s">
        <v>607</v>
      </c>
      <c r="B65" s="10" t="s">
        <v>609</v>
      </c>
    </row>
    <row r="66" spans="1:2" x14ac:dyDescent="0.3">
      <c r="A66" s="11" t="s">
        <v>562</v>
      </c>
      <c r="B66" s="53">
        <v>49.8</v>
      </c>
    </row>
    <row r="67" spans="1:2" x14ac:dyDescent="0.3">
      <c r="A67" s="11" t="s">
        <v>29</v>
      </c>
      <c r="B67" s="11">
        <v>40</v>
      </c>
    </row>
    <row r="68" spans="1:2" x14ac:dyDescent="0.3">
      <c r="A68" s="11" t="s">
        <v>561</v>
      </c>
      <c r="B68" s="53">
        <v>55.3</v>
      </c>
    </row>
    <row r="69" spans="1:2" x14ac:dyDescent="0.3">
      <c r="A69" s="11" t="s">
        <v>608</v>
      </c>
      <c r="B69" s="53">
        <v>32.6</v>
      </c>
    </row>
    <row r="70" spans="1:2" x14ac:dyDescent="0.3">
      <c r="A70" s="49" t="s">
        <v>610</v>
      </c>
      <c r="B70" s="76">
        <f>AVERAGE(B66:B69)</f>
        <v>44.424999999999997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32DA-C38D-42AF-B012-B9A7AC5E3854}">
  <dimension ref="A1:G61"/>
  <sheetViews>
    <sheetView workbookViewId="0">
      <selection sqref="A1:G61"/>
    </sheetView>
  </sheetViews>
  <sheetFormatPr defaultRowHeight="14.4" x14ac:dyDescent="0.3"/>
  <cols>
    <col min="1" max="1" width="19.77734375" customWidth="1"/>
    <col min="2" max="2" width="15.33203125" customWidth="1"/>
    <col min="3" max="3" width="13.21875" customWidth="1"/>
    <col min="4" max="4" width="12.109375" customWidth="1"/>
    <col min="5" max="5" width="12.6640625" customWidth="1"/>
    <col min="6" max="6" width="12.44140625" customWidth="1"/>
    <col min="7" max="7" width="14.6640625" customWidth="1"/>
  </cols>
  <sheetData>
    <row r="1" spans="1:7" x14ac:dyDescent="0.3">
      <c r="A1" s="10" t="s">
        <v>67</v>
      </c>
      <c r="B1" s="23" t="s">
        <v>614</v>
      </c>
      <c r="C1" s="23" t="s">
        <v>615</v>
      </c>
      <c r="D1" s="23" t="s">
        <v>616</v>
      </c>
      <c r="E1" s="23" t="s">
        <v>617</v>
      </c>
      <c r="F1" s="23" t="s">
        <v>618</v>
      </c>
      <c r="G1" s="23" t="s">
        <v>619</v>
      </c>
    </row>
    <row r="2" spans="1:7" x14ac:dyDescent="0.3">
      <c r="A2" s="14" t="s">
        <v>0</v>
      </c>
      <c r="B2" s="27">
        <v>0.78333333333333333</v>
      </c>
      <c r="C2" s="27">
        <v>0.4706168831168831</v>
      </c>
      <c r="D2" s="27">
        <v>0.51730763709048488</v>
      </c>
      <c r="E2" s="27">
        <v>0.94631252297598589</v>
      </c>
      <c r="F2" s="27">
        <v>0.82881776843916055</v>
      </c>
      <c r="G2" s="27">
        <v>0.47091918495392349</v>
      </c>
    </row>
    <row r="3" spans="1:7" x14ac:dyDescent="0.3">
      <c r="A3" s="14" t="s">
        <v>1</v>
      </c>
      <c r="B3" s="27">
        <v>0.59166666666666667</v>
      </c>
      <c r="C3" s="27">
        <v>0.51203102453102445</v>
      </c>
      <c r="D3" s="27">
        <v>0.42065062903366834</v>
      </c>
      <c r="E3" s="27">
        <v>0.96684663943932214</v>
      </c>
      <c r="F3" s="27">
        <v>0.90151072718556702</v>
      </c>
      <c r="G3" s="27">
        <v>0.73085962004916316</v>
      </c>
    </row>
    <row r="4" spans="1:7" x14ac:dyDescent="0.3">
      <c r="A4" s="14" t="s">
        <v>2</v>
      </c>
      <c r="B4" s="27">
        <v>0.35909090909090907</v>
      </c>
      <c r="C4" s="27">
        <v>0.69650072150072151</v>
      </c>
      <c r="D4" s="27">
        <v>0.98884913473813851</v>
      </c>
      <c r="E4" s="27">
        <v>0.96107179217497896</v>
      </c>
      <c r="F4" s="27">
        <v>0.54161677448540346</v>
      </c>
      <c r="G4" s="27">
        <v>0.48647765993773234</v>
      </c>
    </row>
    <row r="5" spans="1:7" x14ac:dyDescent="0.3">
      <c r="A5" s="17" t="s">
        <v>3</v>
      </c>
      <c r="B5" s="27">
        <v>0.28333333333333333</v>
      </c>
      <c r="C5" s="27">
        <v>0.5038600288600289</v>
      </c>
      <c r="D5" s="27">
        <v>0.45763350392376828</v>
      </c>
      <c r="E5" s="27">
        <v>0.77142345528392886</v>
      </c>
      <c r="F5" s="27">
        <v>0.93054501239033161</v>
      </c>
      <c r="G5" s="27">
        <v>0.51779817571182629</v>
      </c>
    </row>
    <row r="6" spans="1:7" x14ac:dyDescent="0.3">
      <c r="A6" s="14" t="s">
        <v>4</v>
      </c>
      <c r="B6" s="27">
        <v>1</v>
      </c>
      <c r="C6" s="27">
        <v>0.60458152958152955</v>
      </c>
      <c r="D6" s="27">
        <v>0.70143934247219386</v>
      </c>
      <c r="E6" s="27">
        <v>0.87948191390497921</v>
      </c>
      <c r="F6" s="27">
        <v>0.86882557919357717</v>
      </c>
      <c r="G6" s="27">
        <v>0.56989734099852274</v>
      </c>
    </row>
    <row r="7" spans="1:7" x14ac:dyDescent="0.3">
      <c r="A7" s="17" t="s">
        <v>5</v>
      </c>
      <c r="B7" s="27">
        <v>0.35606060606060602</v>
      </c>
      <c r="C7" s="27">
        <v>0.77586580086580081</v>
      </c>
      <c r="D7" s="27">
        <v>0.60760034146133213</v>
      </c>
      <c r="E7" s="27">
        <v>0.62860213553285049</v>
      </c>
      <c r="F7" s="27">
        <v>0.62121838543981744</v>
      </c>
      <c r="G7" s="27">
        <v>7.6171447400773182E-2</v>
      </c>
    </row>
    <row r="8" spans="1:7" x14ac:dyDescent="0.3">
      <c r="A8" s="14" t="s">
        <v>6</v>
      </c>
      <c r="B8" s="27">
        <v>0.50454545454545452</v>
      </c>
      <c r="C8" s="27">
        <v>0.18084415584415584</v>
      </c>
      <c r="D8" s="27">
        <v>0.35856191592438225</v>
      </c>
      <c r="E8" s="27">
        <v>0.91166355650544462</v>
      </c>
      <c r="F8" s="27">
        <v>0.83746162330566443</v>
      </c>
      <c r="G8" s="27">
        <v>0.52696345239925113</v>
      </c>
    </row>
    <row r="9" spans="1:7" x14ac:dyDescent="0.3">
      <c r="A9" s="14" t="s">
        <v>7</v>
      </c>
      <c r="B9" s="27">
        <v>0.35757575757575755</v>
      </c>
      <c r="C9" s="27">
        <v>0.53481240981240974</v>
      </c>
      <c r="D9" s="27">
        <v>0.62391842753660054</v>
      </c>
      <c r="E9" s="27">
        <v>0.87501870292465478</v>
      </c>
      <c r="F9" s="27">
        <v>0.56622490917297319</v>
      </c>
      <c r="G9" s="27">
        <v>0.87793275691657979</v>
      </c>
    </row>
    <row r="10" spans="1:7" x14ac:dyDescent="0.3">
      <c r="A10" s="14" t="s">
        <v>8</v>
      </c>
      <c r="B10" s="27">
        <v>0.29015151515151516</v>
      </c>
      <c r="C10" s="27">
        <v>0.81805555555555554</v>
      </c>
      <c r="D10" s="27">
        <v>0.34612922319471023</v>
      </c>
      <c r="E10" s="27">
        <v>0.90472540496445353</v>
      </c>
      <c r="F10" s="27">
        <v>0.89109155816203123</v>
      </c>
      <c r="G10" s="27">
        <v>0.51212875070705777</v>
      </c>
    </row>
    <row r="11" spans="1:7" x14ac:dyDescent="0.3">
      <c r="A11" s="17" t="s">
        <v>9</v>
      </c>
      <c r="B11" s="27">
        <v>0.12878787878787878</v>
      </c>
      <c r="C11" s="27">
        <v>0.86331168831168825</v>
      </c>
      <c r="D11" s="27">
        <v>0.40772180363375277</v>
      </c>
      <c r="E11" s="27">
        <v>0.71033804134868894</v>
      </c>
      <c r="F11" s="27">
        <v>0.70202712469452622</v>
      </c>
      <c r="G11" s="27">
        <v>0.56104725454066928</v>
      </c>
    </row>
    <row r="12" spans="1:7" x14ac:dyDescent="0.3">
      <c r="A12" s="14" t="s">
        <v>10</v>
      </c>
      <c r="B12" s="27">
        <v>0.1</v>
      </c>
      <c r="C12" s="27">
        <v>0</v>
      </c>
      <c r="D12" s="27">
        <v>0.40525657056668701</v>
      </c>
      <c r="E12" s="27">
        <v>0.8961326207281789</v>
      </c>
      <c r="F12" s="27">
        <v>0.81450709983586167</v>
      </c>
      <c r="G12" s="27">
        <v>0.81749427830250909</v>
      </c>
    </row>
    <row r="13" spans="1:7" x14ac:dyDescent="0.3">
      <c r="A13" s="15" t="s">
        <v>11</v>
      </c>
      <c r="B13" s="27">
        <v>0.12727272727272726</v>
      </c>
      <c r="C13" s="27">
        <v>0.20907287157287158</v>
      </c>
      <c r="D13" s="27">
        <v>0.27900651343317828</v>
      </c>
      <c r="E13" s="27">
        <v>0.87136249492910789</v>
      </c>
      <c r="F13" s="27">
        <v>0.89762972437363253</v>
      </c>
      <c r="G13" s="27">
        <v>0.84163781516404235</v>
      </c>
    </row>
    <row r="14" spans="1:7" x14ac:dyDescent="0.3">
      <c r="A14" s="17" t="s">
        <v>12</v>
      </c>
      <c r="B14" s="27">
        <v>3.6363636363636362E-2</v>
      </c>
      <c r="C14" s="27">
        <v>0.64924242424242429</v>
      </c>
      <c r="D14" s="27">
        <v>0.50813752778034393</v>
      </c>
      <c r="E14" s="27">
        <v>0.71530396953317044</v>
      </c>
      <c r="F14" s="27">
        <v>0.69001978825878074</v>
      </c>
      <c r="G14" s="27">
        <v>0.57448445067752774</v>
      </c>
    </row>
    <row r="15" spans="1:7" x14ac:dyDescent="0.3">
      <c r="A15" s="15" t="s">
        <v>13</v>
      </c>
      <c r="B15" s="27">
        <v>0.62575757575757573</v>
      </c>
      <c r="C15" s="27">
        <v>0.41462842712842718</v>
      </c>
      <c r="D15" s="27">
        <v>1</v>
      </c>
      <c r="E15" s="27">
        <v>0.76921126313418065</v>
      </c>
      <c r="F15" s="27">
        <v>0.71204389883540375</v>
      </c>
      <c r="G15" s="27">
        <v>0.95042749827772455</v>
      </c>
    </row>
    <row r="16" spans="1:7" x14ac:dyDescent="0.3">
      <c r="A16" s="15" t="s">
        <v>14</v>
      </c>
      <c r="B16" s="27">
        <v>0.35</v>
      </c>
      <c r="C16" s="27">
        <v>0.10952380952380955</v>
      </c>
      <c r="D16" s="27">
        <v>8.6529588704728197E-2</v>
      </c>
      <c r="E16" s="27">
        <v>0.92594532648782646</v>
      </c>
      <c r="F16" s="27">
        <v>0.80591368419268139</v>
      </c>
      <c r="G16" s="27">
        <v>0.87500366960807496</v>
      </c>
    </row>
    <row r="17" spans="1:7" x14ac:dyDescent="0.3">
      <c r="A17" s="17" t="s">
        <v>15</v>
      </c>
      <c r="B17" s="27">
        <v>0.52803030303030307</v>
      </c>
      <c r="C17" s="27">
        <v>0.59076479076479071</v>
      </c>
      <c r="D17" s="27">
        <v>0.66309447141650379</v>
      </c>
      <c r="E17" s="27">
        <v>0.62303519583282951</v>
      </c>
      <c r="F17" s="27">
        <v>0.84597238495186267</v>
      </c>
      <c r="G17" s="27">
        <v>0.50174868058426114</v>
      </c>
    </row>
    <row r="18" spans="1:7" x14ac:dyDescent="0.3">
      <c r="A18" s="15" t="s">
        <v>16</v>
      </c>
      <c r="B18" s="27">
        <v>0.1</v>
      </c>
      <c r="C18" s="27">
        <v>0.10887445887445887</v>
      </c>
      <c r="D18" s="27">
        <v>0.83629149172625106</v>
      </c>
      <c r="E18" s="27">
        <v>0.82713783227389359</v>
      </c>
      <c r="F18" s="27">
        <v>0.61375643926194612</v>
      </c>
      <c r="G18" s="27">
        <v>0.6149491426492143</v>
      </c>
    </row>
    <row r="19" spans="1:7" x14ac:dyDescent="0.3">
      <c r="A19" s="15" t="s">
        <v>17</v>
      </c>
      <c r="B19" s="27">
        <v>0.14696969696969697</v>
      </c>
      <c r="C19" s="27">
        <v>0.59552669552669546</v>
      </c>
      <c r="D19" s="27">
        <v>0.45817855506837551</v>
      </c>
      <c r="E19" s="27">
        <v>0.64736925566884318</v>
      </c>
      <c r="F19" s="27">
        <v>0.71643632124124745</v>
      </c>
      <c r="G19" s="27">
        <v>0.70987636162102263</v>
      </c>
    </row>
    <row r="20" spans="1:7" x14ac:dyDescent="0.3">
      <c r="A20" s="17" t="s">
        <v>18</v>
      </c>
      <c r="B20" s="27">
        <v>0.16515151515151516</v>
      </c>
      <c r="C20" s="27">
        <v>0.21800144300144303</v>
      </c>
      <c r="D20" s="27">
        <v>0.28959823818114283</v>
      </c>
      <c r="E20" s="27">
        <v>0.58838478951263096</v>
      </c>
      <c r="F20" s="27">
        <v>0.97964282284264448</v>
      </c>
      <c r="G20" s="27">
        <v>0.56743642495084889</v>
      </c>
    </row>
    <row r="21" spans="1:7" x14ac:dyDescent="0.3">
      <c r="A21" s="17" t="s">
        <v>19</v>
      </c>
      <c r="B21" s="27">
        <v>0.22121212121212119</v>
      </c>
      <c r="C21" s="27">
        <v>0.46720779220779218</v>
      </c>
      <c r="D21" s="27">
        <v>0.14209274735991911</v>
      </c>
      <c r="E21" s="27">
        <v>0.67330710643618363</v>
      </c>
      <c r="F21" s="27">
        <v>1</v>
      </c>
      <c r="G21" s="27">
        <v>0.52105233303940113</v>
      </c>
    </row>
    <row r="22" spans="1:7" x14ac:dyDescent="0.3">
      <c r="A22" s="17" t="s">
        <v>20</v>
      </c>
      <c r="B22" s="27">
        <v>5.4545454545454543E-2</v>
      </c>
      <c r="C22" s="27">
        <v>0.79491341991341991</v>
      </c>
      <c r="D22" s="27">
        <v>0.55417670412673847</v>
      </c>
      <c r="E22" s="27">
        <v>0.64614751490403155</v>
      </c>
      <c r="F22" s="27">
        <v>0.70384067477731427</v>
      </c>
      <c r="G22" s="27">
        <v>0.57800474085193854</v>
      </c>
    </row>
    <row r="23" spans="1:7" x14ac:dyDescent="0.3">
      <c r="A23" s="15" t="s">
        <v>21</v>
      </c>
      <c r="B23" s="27">
        <v>6.363636363636363E-2</v>
      </c>
      <c r="C23" s="27">
        <v>0</v>
      </c>
      <c r="D23" s="27">
        <v>0.1904454634844957</v>
      </c>
      <c r="E23" s="27">
        <v>0.73411272631031832</v>
      </c>
      <c r="F23" s="27">
        <v>0.93421059802138984</v>
      </c>
      <c r="G23" s="27">
        <v>0.79545783589678154</v>
      </c>
    </row>
    <row r="24" spans="1:7" x14ac:dyDescent="0.3">
      <c r="A24" s="15" t="s">
        <v>22</v>
      </c>
      <c r="B24" s="27">
        <v>9.0909090909090905E-3</v>
      </c>
      <c r="C24" s="27">
        <v>0.36785714285714283</v>
      </c>
      <c r="D24" s="27">
        <v>0.10917310300967513</v>
      </c>
      <c r="E24" s="27">
        <v>1</v>
      </c>
      <c r="F24" s="27">
        <v>0.45396395746403784</v>
      </c>
      <c r="G24" s="27">
        <v>1</v>
      </c>
    </row>
    <row r="25" spans="1:7" x14ac:dyDescent="0.3">
      <c r="A25" s="15" t="s">
        <v>23</v>
      </c>
      <c r="B25" s="27">
        <v>2.7272727272727271E-2</v>
      </c>
      <c r="C25" s="27">
        <v>0.30297619047619045</v>
      </c>
      <c r="D25" s="27">
        <v>0.2919134642304384</v>
      </c>
      <c r="E25" s="27">
        <v>0.61990582143703665</v>
      </c>
      <c r="F25" s="27">
        <v>0.9215085027401515</v>
      </c>
      <c r="G25" s="27">
        <v>0.6332805532733401</v>
      </c>
    </row>
    <row r="26" spans="1:7" x14ac:dyDescent="0.3">
      <c r="A26" s="15" t="s">
        <v>24</v>
      </c>
      <c r="B26" s="27">
        <v>2.7272727272727271E-2</v>
      </c>
      <c r="C26" s="27">
        <v>0.21666666666666665</v>
      </c>
      <c r="D26" s="27">
        <v>0.34885169071246774</v>
      </c>
      <c r="E26" s="27">
        <v>0.62435999960507471</v>
      </c>
      <c r="F26" s="27">
        <v>0.85281623732779921</v>
      </c>
      <c r="G26" s="27">
        <v>0.57934557953595234</v>
      </c>
    </row>
    <row r="27" spans="1:7" x14ac:dyDescent="0.3">
      <c r="A27" s="17" t="s">
        <v>25</v>
      </c>
      <c r="B27" s="27">
        <v>7.2727272727272724E-2</v>
      </c>
      <c r="C27" s="27">
        <v>0.33214285714285718</v>
      </c>
      <c r="D27" s="27">
        <v>0.1045533554976719</v>
      </c>
      <c r="E27" s="27">
        <v>0.54072732221233921</v>
      </c>
      <c r="F27" s="27">
        <v>0.93760873341386919</v>
      </c>
      <c r="G27" s="27">
        <v>0.50921156311489058</v>
      </c>
    </row>
    <row r="28" spans="1:7" x14ac:dyDescent="0.3">
      <c r="A28" s="17" t="s">
        <v>26</v>
      </c>
      <c r="B28" s="27">
        <v>7.2727272727272724E-2</v>
      </c>
      <c r="C28" s="27">
        <v>0.49819624819624819</v>
      </c>
      <c r="D28" s="27">
        <v>0.41499534027422325</v>
      </c>
      <c r="E28" s="27">
        <v>0.62561153842062311</v>
      </c>
      <c r="F28" s="27">
        <v>0.71262165574808267</v>
      </c>
      <c r="G28" s="27">
        <v>0</v>
      </c>
    </row>
    <row r="29" spans="1:7" x14ac:dyDescent="0.3">
      <c r="A29" s="15" t="s">
        <v>27</v>
      </c>
      <c r="B29" s="27">
        <v>0.21060606060606057</v>
      </c>
      <c r="C29" s="27">
        <v>9.3650793650793651E-2</v>
      </c>
      <c r="D29" s="27">
        <v>0.46030362330271968</v>
      </c>
      <c r="E29" s="27">
        <v>0.82643522487247489</v>
      </c>
      <c r="F29" s="27">
        <v>0.84067683802932625</v>
      </c>
      <c r="G29" s="27">
        <v>0.61291520448598946</v>
      </c>
    </row>
    <row r="30" spans="1:7" x14ac:dyDescent="0.3">
      <c r="A30" s="15" t="s">
        <v>28</v>
      </c>
      <c r="B30" s="27">
        <v>6.363636363636363E-2</v>
      </c>
      <c r="C30" s="27">
        <v>0.27023809523809522</v>
      </c>
      <c r="D30" s="27">
        <v>0.3537446106475759</v>
      </c>
      <c r="E30" s="27">
        <v>0.69201553387507608</v>
      </c>
      <c r="F30" s="27">
        <v>0.96090894185118247</v>
      </c>
      <c r="G30" s="27">
        <v>0.69703616692020542</v>
      </c>
    </row>
    <row r="31" spans="1:7" x14ac:dyDescent="0.3">
      <c r="A31" s="17" t="s">
        <v>29</v>
      </c>
      <c r="B31" s="27">
        <v>9.0909090909090905E-3</v>
      </c>
      <c r="C31" s="27">
        <v>0.63654401154401152</v>
      </c>
      <c r="D31" s="27">
        <v>0.34690581953083732</v>
      </c>
      <c r="E31" s="27">
        <v>0.67284463686474005</v>
      </c>
      <c r="F31" s="27">
        <v>0.60557185823628845</v>
      </c>
      <c r="G31" s="27">
        <v>0.29752763567956342</v>
      </c>
    </row>
    <row r="32" spans="1:7" x14ac:dyDescent="0.3">
      <c r="A32" s="15" t="s">
        <v>30</v>
      </c>
      <c r="B32" s="27">
        <v>0.16515151515151516</v>
      </c>
      <c r="C32" s="27">
        <v>0.80932539682539684</v>
      </c>
      <c r="D32" s="27">
        <v>0.47740078499312699</v>
      </c>
      <c r="E32" s="27">
        <v>0.84736649069261105</v>
      </c>
      <c r="F32" s="27">
        <v>0.39163754705765819</v>
      </c>
      <c r="G32" s="27">
        <v>0.5933028898641356</v>
      </c>
    </row>
    <row r="33" spans="1:7" x14ac:dyDescent="0.3">
      <c r="A33" s="15" t="s">
        <v>31</v>
      </c>
      <c r="B33" s="27">
        <v>0.12878787878787878</v>
      </c>
      <c r="C33" s="27">
        <v>0</v>
      </c>
      <c r="D33" s="27">
        <v>0.26913714951790796</v>
      </c>
      <c r="E33" s="27">
        <v>0.55518984960690232</v>
      </c>
      <c r="F33" s="27">
        <v>0.86432211965933758</v>
      </c>
      <c r="G33" s="27">
        <v>0.86506894033330695</v>
      </c>
    </row>
    <row r="34" spans="1:7" x14ac:dyDescent="0.3">
      <c r="A34" s="17" t="s">
        <v>32</v>
      </c>
      <c r="B34" s="27">
        <v>0.22878787878787876</v>
      </c>
      <c r="C34" s="27">
        <v>0.641991341991342</v>
      </c>
      <c r="D34" s="27">
        <v>0.666748663761072</v>
      </c>
      <c r="E34" s="27">
        <v>0.60545826342465814</v>
      </c>
      <c r="F34" s="27">
        <v>0.63075399869097892</v>
      </c>
      <c r="G34" s="27">
        <v>0.17002331810732321</v>
      </c>
    </row>
    <row r="35" spans="1:7" x14ac:dyDescent="0.3">
      <c r="A35" s="17" t="s">
        <v>33</v>
      </c>
      <c r="B35" s="27">
        <v>6.363636363636363E-2</v>
      </c>
      <c r="C35" s="27">
        <v>0.58878066378066385</v>
      </c>
      <c r="D35" s="27">
        <v>0.59017110880639612</v>
      </c>
      <c r="E35" s="27">
        <v>0.59975967822019494</v>
      </c>
      <c r="F35" s="27">
        <v>0.59425435424886497</v>
      </c>
      <c r="G35" s="27">
        <v>8.1510330783480911E-2</v>
      </c>
    </row>
    <row r="36" spans="1:7" x14ac:dyDescent="0.3">
      <c r="A36" s="17" t="s">
        <v>34</v>
      </c>
      <c r="B36" s="27">
        <v>0.17878787878787877</v>
      </c>
      <c r="C36" s="27">
        <v>0.54974747474747476</v>
      </c>
      <c r="D36" s="27">
        <v>0.3053444565631977</v>
      </c>
      <c r="E36" s="27">
        <v>0.50840901677360817</v>
      </c>
      <c r="F36" s="27">
        <v>0.64151216340743511</v>
      </c>
      <c r="G36" s="27">
        <v>0.59174093449133358</v>
      </c>
    </row>
    <row r="37" spans="1:7" x14ac:dyDescent="0.3">
      <c r="A37" s="15" t="s">
        <v>35</v>
      </c>
      <c r="B37" s="27">
        <v>6.363636363636363E-2</v>
      </c>
      <c r="C37" s="27">
        <v>0.16468253968253965</v>
      </c>
      <c r="D37" s="27">
        <v>0.5131114918986146</v>
      </c>
      <c r="E37" s="27">
        <v>0.60818915353771963</v>
      </c>
      <c r="F37" s="27">
        <v>0.49791592068040125</v>
      </c>
      <c r="G37" s="27">
        <v>0.27752216555545828</v>
      </c>
    </row>
    <row r="38" spans="1:7" x14ac:dyDescent="0.3">
      <c r="A38" s="15" t="s">
        <v>36</v>
      </c>
      <c r="B38" s="27">
        <v>0.1015151515151515</v>
      </c>
      <c r="C38" s="27">
        <v>0.12435064935064936</v>
      </c>
      <c r="D38" s="27">
        <v>0.20038376546198444</v>
      </c>
      <c r="E38" s="27">
        <v>0.84884980006099042</v>
      </c>
      <c r="F38" s="27">
        <v>0.79997801957497483</v>
      </c>
      <c r="G38" s="27">
        <v>0.59568595077179309</v>
      </c>
    </row>
    <row r="39" spans="1:7" x14ac:dyDescent="0.3">
      <c r="A39" s="17" t="s">
        <v>37</v>
      </c>
      <c r="B39" s="27">
        <v>2.7272727272727271E-2</v>
      </c>
      <c r="C39" s="27">
        <v>0.80562770562770558</v>
      </c>
      <c r="D39" s="27">
        <v>0.31791579715009388</v>
      </c>
      <c r="E39" s="27">
        <v>0.5445690116244789</v>
      </c>
      <c r="F39" s="27">
        <v>0.68716028034001186</v>
      </c>
      <c r="G39" s="27">
        <v>0.53942882148865323</v>
      </c>
    </row>
    <row r="40" spans="1:7" x14ac:dyDescent="0.3">
      <c r="A40" s="15" t="s">
        <v>38</v>
      </c>
      <c r="B40" s="27">
        <v>9.0909090909090905E-3</v>
      </c>
      <c r="C40" s="27">
        <v>0.48095238095238096</v>
      </c>
      <c r="D40" s="27">
        <v>0.32946358603454268</v>
      </c>
      <c r="E40" s="27">
        <v>0.88013943072866496</v>
      </c>
      <c r="F40" s="27">
        <v>0.47040024570164402</v>
      </c>
      <c r="G40" s="27">
        <v>0.28254876370292642</v>
      </c>
    </row>
    <row r="41" spans="1:7" x14ac:dyDescent="0.3">
      <c r="A41" s="15" t="s">
        <v>39</v>
      </c>
      <c r="B41" s="27">
        <v>5.4545454545454543E-2</v>
      </c>
      <c r="C41" s="27">
        <v>8.8095238095238115E-2</v>
      </c>
      <c r="D41" s="27">
        <v>0.52791653027001251</v>
      </c>
      <c r="E41" s="27">
        <v>0.7074811673296858</v>
      </c>
      <c r="F41" s="27">
        <v>0.5184520983179759</v>
      </c>
      <c r="G41" s="27">
        <v>0.23497403377337236</v>
      </c>
    </row>
    <row r="42" spans="1:7" x14ac:dyDescent="0.3">
      <c r="A42" s="17" t="s">
        <v>40</v>
      </c>
      <c r="B42" s="27">
        <v>0.1106060606060606</v>
      </c>
      <c r="C42" s="27">
        <v>0.30496031746031743</v>
      </c>
      <c r="D42" s="27">
        <v>0.45016187734928392</v>
      </c>
      <c r="E42" s="27">
        <v>0.69759783226091554</v>
      </c>
      <c r="F42" s="27">
        <v>0.97845886953819228</v>
      </c>
      <c r="G42" s="27">
        <v>0.86539059713579658</v>
      </c>
    </row>
    <row r="43" spans="1:7" x14ac:dyDescent="0.3">
      <c r="A43" s="17" t="s">
        <v>41</v>
      </c>
      <c r="B43" s="27">
        <v>9.0909090909090905E-3</v>
      </c>
      <c r="C43" s="27">
        <v>0</v>
      </c>
      <c r="D43" s="27">
        <v>0.28680865584902143</v>
      </c>
      <c r="E43" s="27">
        <v>0.95657958120765396</v>
      </c>
      <c r="F43" s="27">
        <v>0.8840999138709611</v>
      </c>
      <c r="G43" s="27">
        <v>0.96152560517260521</v>
      </c>
    </row>
    <row r="44" spans="1:7" x14ac:dyDescent="0.3">
      <c r="A44" s="17" t="s">
        <v>42</v>
      </c>
      <c r="B44" s="27">
        <v>2.7272727272727271E-2</v>
      </c>
      <c r="C44" s="27">
        <v>0.38571428571428573</v>
      </c>
      <c r="D44" s="27">
        <v>0.17124073539852372</v>
      </c>
      <c r="E44" s="27">
        <v>0.88958609321877802</v>
      </c>
      <c r="F44" s="27">
        <v>0.86180196966857514</v>
      </c>
      <c r="G44" s="27">
        <v>0.73043361898126291</v>
      </c>
    </row>
    <row r="45" spans="1:7" x14ac:dyDescent="0.3">
      <c r="A45" s="17" t="s">
        <v>43</v>
      </c>
      <c r="B45" s="27">
        <v>0.13787878787878788</v>
      </c>
      <c r="C45" s="27">
        <v>0.59036796536796532</v>
      </c>
      <c r="D45" s="27">
        <v>0.32790744603083838</v>
      </c>
      <c r="E45" s="27">
        <v>0.55723850809576203</v>
      </c>
      <c r="F45" s="27">
        <v>0.72049204210971607</v>
      </c>
      <c r="G45" s="27">
        <v>0.54299921145650665</v>
      </c>
    </row>
    <row r="46" spans="1:7" x14ac:dyDescent="0.3">
      <c r="A46" s="15" t="s">
        <v>44</v>
      </c>
      <c r="B46" s="27">
        <v>2.7272727272727271E-2</v>
      </c>
      <c r="C46" s="27">
        <v>0.40712481962481961</v>
      </c>
      <c r="D46" s="27">
        <v>0.46997252525483818</v>
      </c>
      <c r="E46" s="27">
        <v>0.79688495679097049</v>
      </c>
      <c r="F46" s="27">
        <v>0.26732719134497707</v>
      </c>
      <c r="G46" s="27">
        <v>0.52823707929777908</v>
      </c>
    </row>
    <row r="47" spans="1:7" x14ac:dyDescent="0.3">
      <c r="A47" s="17" t="s">
        <v>45</v>
      </c>
      <c r="B47" s="27">
        <v>9.0909090909090905E-3</v>
      </c>
      <c r="C47" s="27">
        <v>0</v>
      </c>
      <c r="D47" s="27">
        <v>0.25879041612295001</v>
      </c>
      <c r="E47" s="27">
        <v>0.46502174318275857</v>
      </c>
      <c r="F47" s="27">
        <v>0.67090209906941234</v>
      </c>
      <c r="G47" s="27">
        <v>0.89031408697370196</v>
      </c>
    </row>
    <row r="48" spans="1:7" x14ac:dyDescent="0.3">
      <c r="A48" s="15" t="s">
        <v>46</v>
      </c>
      <c r="B48" s="27">
        <v>9.0909090909090905E-3</v>
      </c>
      <c r="C48" s="27">
        <v>0.53228715728715725</v>
      </c>
      <c r="D48" s="27">
        <v>0.36514820120239183</v>
      </c>
      <c r="E48" s="27">
        <v>0.68562928347442154</v>
      </c>
      <c r="F48" s="27">
        <v>0.27586605438418887</v>
      </c>
      <c r="G48" s="27">
        <v>0.37408853396087294</v>
      </c>
    </row>
    <row r="49" spans="1:7" x14ac:dyDescent="0.3">
      <c r="A49" s="15" t="s">
        <v>47</v>
      </c>
      <c r="B49" s="27">
        <v>5.4545454545454543E-2</v>
      </c>
      <c r="C49" s="27">
        <v>8.5317460317460334E-2</v>
      </c>
      <c r="D49" s="27">
        <v>0.47491319586473318</v>
      </c>
      <c r="E49" s="27">
        <v>0.79211615581988704</v>
      </c>
      <c r="F49" s="27">
        <v>0.83182559955118918</v>
      </c>
      <c r="G49" s="27">
        <v>0.91762820996937267</v>
      </c>
    </row>
    <row r="50" spans="1:7" x14ac:dyDescent="0.3">
      <c r="A50" s="15" t="s">
        <v>48</v>
      </c>
      <c r="B50" s="27">
        <v>0.13636363636363635</v>
      </c>
      <c r="C50" s="27">
        <v>0.31785714285714284</v>
      </c>
      <c r="D50" s="27">
        <v>0.43164458598153288</v>
      </c>
      <c r="E50" s="27">
        <v>0.83426375613934445</v>
      </c>
      <c r="F50" s="27">
        <v>0.51968567782922526</v>
      </c>
      <c r="G50" s="27">
        <v>0.85054671357191314</v>
      </c>
    </row>
    <row r="51" spans="1:7" x14ac:dyDescent="0.3">
      <c r="A51" s="15" t="s">
        <v>49</v>
      </c>
      <c r="B51" s="27">
        <v>0.1106060606060606</v>
      </c>
      <c r="C51" s="27">
        <v>0.27351190476190479</v>
      </c>
      <c r="D51" s="27">
        <v>0.36490087104439284</v>
      </c>
      <c r="E51" s="27">
        <v>0.54849070790018484</v>
      </c>
      <c r="F51" s="27">
        <v>0.93113267844503289</v>
      </c>
      <c r="G51" s="27">
        <v>0.66866251787957476</v>
      </c>
    </row>
    <row r="52" spans="1:7" x14ac:dyDescent="0.3">
      <c r="A52" s="15" t="s">
        <v>50</v>
      </c>
      <c r="B52" s="27">
        <v>0.14545454545454545</v>
      </c>
      <c r="C52" s="27">
        <v>0</v>
      </c>
      <c r="D52" s="27">
        <v>0.25488386569966914</v>
      </c>
      <c r="E52" s="27">
        <v>0.78556591585961677</v>
      </c>
      <c r="F52" s="27">
        <v>0.89556210260144609</v>
      </c>
      <c r="G52" s="27">
        <v>0.88928013926907779</v>
      </c>
    </row>
    <row r="53" spans="1:7" x14ac:dyDescent="0.3">
      <c r="A53" s="17" t="s">
        <v>51</v>
      </c>
      <c r="B53" s="27">
        <v>0</v>
      </c>
      <c r="C53" s="27">
        <v>0.59393939393939388</v>
      </c>
      <c r="D53" s="27">
        <v>5.4545120995167701E-2</v>
      </c>
      <c r="E53" s="27">
        <v>0.68562928347442154</v>
      </c>
      <c r="F53" s="27">
        <v>0.61086748565551074</v>
      </c>
      <c r="G53" s="27">
        <v>0.41988360731592855</v>
      </c>
    </row>
    <row r="54" spans="1:7" x14ac:dyDescent="0.3">
      <c r="A54" s="17" t="s">
        <v>52</v>
      </c>
      <c r="B54" s="27">
        <v>3.6363636363636362E-2</v>
      </c>
      <c r="C54" s="27">
        <v>0.48928571428571432</v>
      </c>
      <c r="D54" s="27">
        <v>0.35094649932752914</v>
      </c>
      <c r="E54" s="27">
        <v>0.44473244993113087</v>
      </c>
      <c r="F54" s="27">
        <v>0.55119314320858681</v>
      </c>
      <c r="G54" s="27">
        <v>0.33810243726103695</v>
      </c>
    </row>
    <row r="55" spans="1:7" x14ac:dyDescent="0.3">
      <c r="A55" s="15" t="s">
        <v>53</v>
      </c>
      <c r="B55" s="27">
        <v>2.7272727272727271E-2</v>
      </c>
      <c r="C55" s="27">
        <v>0.2722222222222222</v>
      </c>
      <c r="D55" s="27">
        <v>0.49535940506517878</v>
      </c>
      <c r="E55" s="27">
        <v>0.75363925927804087</v>
      </c>
      <c r="F55" s="27">
        <v>0.84375557062220974</v>
      </c>
      <c r="G55" s="27">
        <v>0.93252686082162262</v>
      </c>
    </row>
    <row r="56" spans="1:7" x14ac:dyDescent="0.3">
      <c r="A56" s="17" t="s">
        <v>54</v>
      </c>
      <c r="B56" s="27">
        <v>0.23333333333333334</v>
      </c>
      <c r="C56" s="27">
        <v>0.26686507936507936</v>
      </c>
      <c r="D56" s="27">
        <v>0.73676846336136614</v>
      </c>
      <c r="E56" s="27">
        <v>0.55613252856091255</v>
      </c>
      <c r="F56" s="27">
        <v>0.53379411460878246</v>
      </c>
      <c r="G56" s="27">
        <v>0.19388777002516322</v>
      </c>
    </row>
    <row r="57" spans="1:7" x14ac:dyDescent="0.3">
      <c r="A57" s="17" t="s">
        <v>55</v>
      </c>
      <c r="B57" s="27">
        <v>3.6363636363636362E-2</v>
      </c>
      <c r="C57" s="27">
        <v>0.47857142857142859</v>
      </c>
      <c r="D57" s="27">
        <v>0.63653317605271464</v>
      </c>
      <c r="E57" s="27">
        <v>0.4851975296819796</v>
      </c>
      <c r="F57" s="27">
        <v>0.70914562371275225</v>
      </c>
      <c r="G57" s="27">
        <v>0.46422480549983342</v>
      </c>
    </row>
    <row r="58" spans="1:7" x14ac:dyDescent="0.3">
      <c r="A58" s="15" t="s">
        <v>56</v>
      </c>
      <c r="B58" s="27">
        <v>1.8181818181818181E-2</v>
      </c>
      <c r="C58" s="27">
        <v>0.5283189033189033</v>
      </c>
      <c r="D58" s="27">
        <v>0.34193843117045347</v>
      </c>
      <c r="E58" s="27">
        <v>0.77618892333985345</v>
      </c>
      <c r="F58" s="27">
        <v>9.7004345842704745E-2</v>
      </c>
      <c r="G58" s="27">
        <v>0.3229607623450359</v>
      </c>
    </row>
    <row r="59" spans="1:7" x14ac:dyDescent="0.3">
      <c r="A59" s="15" t="s">
        <v>57</v>
      </c>
      <c r="B59" s="27">
        <v>0</v>
      </c>
      <c r="C59" s="27">
        <v>0.60678210678210676</v>
      </c>
      <c r="D59" s="27">
        <v>0.43407277266895999</v>
      </c>
      <c r="E59" s="27">
        <v>0.68562928347442154</v>
      </c>
      <c r="F59" s="27">
        <v>0.53348985323578613</v>
      </c>
      <c r="G59" s="27">
        <v>0.33287296794132321</v>
      </c>
    </row>
    <row r="60" spans="1:7" x14ac:dyDescent="0.3">
      <c r="A60" s="15" t="s">
        <v>58</v>
      </c>
      <c r="B60" s="27">
        <v>2.7272727272727271E-2</v>
      </c>
      <c r="C60" s="27">
        <v>0.32976190476190476</v>
      </c>
      <c r="D60" s="27">
        <v>1.7184248005046483E-2</v>
      </c>
      <c r="E60" s="27">
        <v>0.83348930551436096</v>
      </c>
      <c r="F60" s="27">
        <v>0.87275895314929475</v>
      </c>
      <c r="G60" s="27">
        <v>0.68202146041042688</v>
      </c>
    </row>
    <row r="61" spans="1:7" x14ac:dyDescent="0.3">
      <c r="A61" s="15" t="s">
        <v>59</v>
      </c>
      <c r="B61" s="27">
        <v>7.2727272727272724E-2</v>
      </c>
      <c r="C61" s="27">
        <v>0.33962842712842711</v>
      </c>
      <c r="D61" s="27">
        <v>0.33739761869124152</v>
      </c>
      <c r="E61" s="27">
        <v>0.78626661021389777</v>
      </c>
      <c r="F61" s="27">
        <v>0.88828125786729328</v>
      </c>
      <c r="G61" s="27">
        <v>0.89841994983258333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Zabytki i kultura</vt:lpstr>
      <vt:lpstr>Plaże i morza</vt:lpstr>
      <vt:lpstr>Plaże i morza 2</vt:lpstr>
      <vt:lpstr>Góry (MetaRank)</vt:lpstr>
      <vt:lpstr>Natura (MetaRank)</vt:lpstr>
      <vt:lpstr>Góry i natura NRS</vt:lpstr>
      <vt:lpstr>Góry i natura NTI</vt:lpstr>
      <vt:lpstr>Góry i natura FNS</vt:lpstr>
      <vt:lpstr>Infrastruktura</vt:lpstr>
      <vt:lpstr>Niskie Koszty</vt:lpstr>
      <vt:lpstr>Bezpieczeństwo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Mateusz</cp:lastModifiedBy>
  <cp:lastPrinted>2026-04-19T00:01:24Z</cp:lastPrinted>
  <dcterms:created xsi:type="dcterms:W3CDTF">2026-04-15T16:56:22Z</dcterms:created>
  <dcterms:modified xsi:type="dcterms:W3CDTF">2026-06-03T21:35:20Z</dcterms:modified>
</cp:coreProperties>
</file>